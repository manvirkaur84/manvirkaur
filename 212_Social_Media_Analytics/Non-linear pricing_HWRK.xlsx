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nvirkaur/Downloads/"/>
    </mc:Choice>
  </mc:AlternateContent>
  <xr:revisionPtr revIDLastSave="0" documentId="13_ncr:1_{2C1CBA0E-9DB0-4A44-8624-1950F8A2A9D7}" xr6:coauthVersionLast="47" xr6:coauthVersionMax="47" xr10:uidLastSave="{00000000-0000-0000-0000-000000000000}"/>
  <bookViews>
    <workbookView xWindow="8260" yWindow="500" windowWidth="23560" windowHeight="16360" xr2:uid="{850BC201-E115-4603-BD82-A42D9E273512}"/>
  </bookViews>
  <sheets>
    <sheet name="Sheet1" sheetId="1" r:id="rId1"/>
  </sheets>
  <calcPr calcId="191029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" i="1" l="1"/>
  <c r="E129" i="1"/>
  <c r="E137" i="1" s="1"/>
  <c r="F127" i="1"/>
  <c r="F135" i="1" s="1"/>
  <c r="G34" i="1"/>
  <c r="I129" i="1"/>
  <c r="I137" i="1" s="1"/>
  <c r="H129" i="1"/>
  <c r="H137" i="1" s="1"/>
  <c r="G129" i="1"/>
  <c r="G137" i="1" s="1"/>
  <c r="F129" i="1"/>
  <c r="F137" i="1" s="1"/>
  <c r="F128" i="1"/>
  <c r="F136" i="1" s="1"/>
  <c r="E128" i="1"/>
  <c r="E127" i="1"/>
  <c r="E135" i="1" s="1"/>
  <c r="H127" i="1"/>
  <c r="H135" i="1" s="1"/>
  <c r="H128" i="1"/>
  <c r="H136" i="1" s="1"/>
  <c r="I126" i="1"/>
  <c r="I134" i="1" s="1"/>
  <c r="I127" i="1"/>
  <c r="I135" i="1" s="1"/>
  <c r="I128" i="1"/>
  <c r="I136" i="1" s="1"/>
  <c r="H125" i="1"/>
  <c r="H133" i="1" s="1"/>
  <c r="G127" i="1"/>
  <c r="G135" i="1" s="1"/>
  <c r="G128" i="1"/>
  <c r="G136" i="1" s="1"/>
  <c r="G125" i="1"/>
  <c r="G133" i="1" s="1"/>
  <c r="F125" i="1"/>
  <c r="F133" i="1" s="1"/>
  <c r="F126" i="1"/>
  <c r="F134" i="1" s="1"/>
  <c r="E125" i="1"/>
  <c r="E126" i="1"/>
  <c r="E134" i="1" s="1"/>
  <c r="I125" i="1"/>
  <c r="I133" i="1" s="1"/>
  <c r="H126" i="1"/>
  <c r="H134" i="1" s="1"/>
  <c r="G126" i="1"/>
  <c r="G134" i="1" s="1"/>
  <c r="E80" i="1"/>
  <c r="E87" i="1" s="1"/>
  <c r="J112" i="1"/>
  <c r="M112" i="1" s="1"/>
  <c r="I112" i="1"/>
  <c r="L112" i="1" s="1"/>
  <c r="J111" i="1"/>
  <c r="M111" i="1" s="1"/>
  <c r="I111" i="1"/>
  <c r="L111" i="1" s="1"/>
  <c r="J110" i="1"/>
  <c r="M110" i="1" s="1"/>
  <c r="I110" i="1"/>
  <c r="L110" i="1" s="1"/>
  <c r="J109" i="1"/>
  <c r="M109" i="1" s="1"/>
  <c r="I109" i="1"/>
  <c r="L109" i="1" s="1"/>
  <c r="J108" i="1"/>
  <c r="M108" i="1" s="1"/>
  <c r="I108" i="1"/>
  <c r="L108" i="1" s="1"/>
  <c r="I78" i="1"/>
  <c r="I85" i="1" s="1"/>
  <c r="I79" i="1"/>
  <c r="I86" i="1" s="1"/>
  <c r="I80" i="1"/>
  <c r="I87" i="1" s="1"/>
  <c r="I77" i="1"/>
  <c r="I84" i="1" s="1"/>
  <c r="H77" i="1"/>
  <c r="H84" i="1" s="1"/>
  <c r="G77" i="1"/>
  <c r="G84" i="1" s="1"/>
  <c r="G79" i="1"/>
  <c r="G86" i="1" s="1"/>
  <c r="G80" i="1"/>
  <c r="G87" i="1" s="1"/>
  <c r="H79" i="1"/>
  <c r="H86" i="1" s="1"/>
  <c r="H80" i="1"/>
  <c r="H87" i="1" s="1"/>
  <c r="F77" i="1"/>
  <c r="F84" i="1" s="1"/>
  <c r="F78" i="1"/>
  <c r="F85" i="1" s="1"/>
  <c r="F80" i="1"/>
  <c r="F87" i="1" s="1"/>
  <c r="E77" i="1"/>
  <c r="E84" i="1" s="1"/>
  <c r="E78" i="1"/>
  <c r="E85" i="1" s="1"/>
  <c r="E79" i="1"/>
  <c r="E86" i="1" s="1"/>
  <c r="G78" i="1"/>
  <c r="G85" i="1" s="1"/>
  <c r="H78" i="1"/>
  <c r="H85" i="1" s="1"/>
  <c r="F79" i="1"/>
  <c r="F86" i="1" s="1"/>
  <c r="E33" i="1"/>
  <c r="E40" i="1" s="1"/>
  <c r="E36" i="1"/>
  <c r="E43" i="1" s="1"/>
  <c r="F35" i="1"/>
  <c r="F42" i="1" s="1"/>
  <c r="J64" i="1"/>
  <c r="M64" i="1" s="1"/>
  <c r="J63" i="1"/>
  <c r="M63" i="1" s="1"/>
  <c r="J62" i="1"/>
  <c r="M62" i="1" s="1"/>
  <c r="J61" i="1"/>
  <c r="M61" i="1" s="1"/>
  <c r="I62" i="1"/>
  <c r="L62" i="1" s="1"/>
  <c r="I63" i="1"/>
  <c r="L63" i="1" s="1"/>
  <c r="I64" i="1"/>
  <c r="L64" i="1" s="1"/>
  <c r="I61" i="1"/>
  <c r="L61" i="1" s="1"/>
  <c r="L15" i="1"/>
  <c r="N15" i="1" s="1"/>
  <c r="L13" i="1"/>
  <c r="N13" i="1" s="1"/>
  <c r="E34" i="1"/>
  <c r="E41" i="1" s="1"/>
  <c r="F34" i="1"/>
  <c r="F41" i="1" s="1"/>
  <c r="H34" i="1"/>
  <c r="H41" i="1" s="1"/>
  <c r="I34" i="1"/>
  <c r="I41" i="1" s="1"/>
  <c r="E35" i="1"/>
  <c r="E42" i="1" s="1"/>
  <c r="G35" i="1"/>
  <c r="G42" i="1" s="1"/>
  <c r="H35" i="1"/>
  <c r="H42" i="1" s="1"/>
  <c r="I35" i="1"/>
  <c r="I42" i="1" s="1"/>
  <c r="F36" i="1"/>
  <c r="F43" i="1" s="1"/>
  <c r="G36" i="1"/>
  <c r="G43" i="1" s="1"/>
  <c r="H36" i="1"/>
  <c r="H43" i="1" s="1"/>
  <c r="I36" i="1"/>
  <c r="I43" i="1" s="1"/>
  <c r="I33" i="1"/>
  <c r="I40" i="1" s="1"/>
  <c r="H33" i="1"/>
  <c r="H40" i="1" s="1"/>
  <c r="G33" i="1"/>
  <c r="G40" i="1" s="1"/>
  <c r="F33" i="1"/>
  <c r="F40" i="1" s="1"/>
  <c r="L14" i="1"/>
  <c r="N14" i="1" s="1"/>
  <c r="L16" i="1"/>
  <c r="N16" i="1" s="1"/>
  <c r="I139" i="1" l="1"/>
  <c r="N61" i="1"/>
  <c r="N112" i="1"/>
  <c r="N109" i="1"/>
  <c r="L139" i="1"/>
  <c r="I89" i="1"/>
  <c r="N111" i="1"/>
  <c r="I45" i="1"/>
  <c r="E89" i="1"/>
  <c r="L89" i="1"/>
  <c r="N63" i="1"/>
  <c r="E136" i="1"/>
  <c r="E139" i="1" s="1"/>
  <c r="L45" i="1"/>
  <c r="N64" i="1"/>
  <c r="N62" i="1"/>
  <c r="N110" i="1"/>
  <c r="N108" i="1"/>
  <c r="G41" i="1"/>
  <c r="E45" i="1" s="1"/>
</calcChain>
</file>

<file path=xl/sharedStrings.xml><?xml version="1.0" encoding="utf-8"?>
<sst xmlns="http://schemas.openxmlformats.org/spreadsheetml/2006/main" count="91" uniqueCount="39">
  <si>
    <t>Cost per unit</t>
  </si>
  <si>
    <t>Total Units bought</t>
  </si>
  <si>
    <t>Profit</t>
  </si>
  <si>
    <t xml:space="preserve"> </t>
  </si>
  <si>
    <t>Price</t>
  </si>
  <si>
    <t># of Customers willing to purchase at least q</t>
  </si>
  <si>
    <t>q</t>
  </si>
  <si>
    <t>Total profit</t>
  </si>
  <si>
    <t>Prices should vary according to the following schedule</t>
  </si>
  <si>
    <t>for first unit</t>
  </si>
  <si>
    <t>for the second unit</t>
  </si>
  <si>
    <t>for the third and fourth unit</t>
  </si>
  <si>
    <t>for the fifth unit</t>
  </si>
  <si>
    <t>Price per unit of keyword</t>
  </si>
  <si>
    <t>No of consumers purchasing q keyword units</t>
  </si>
  <si>
    <t>Number of units bought (1 to 5)</t>
  </si>
  <si>
    <t>Optimal uniform price per key word unit</t>
  </si>
  <si>
    <t>Price per keyword is shown below. The number of keywords purchased based on past data in a month is also shown.</t>
  </si>
  <si>
    <t>Case 2: Find out the price-tariff plan if different prices can be charged based on the number of units purchased.</t>
  </si>
  <si>
    <t>Case 1: If one price is charged to everyone, find the optimal price per keyword. (This is called uniform pricing model).</t>
  </si>
  <si>
    <t>Case-4: Redo the above, if  a premium price of $10 is introduced with live customer support. The estimated number of customers is shown below. Cost per key word remains fixed at $1.00</t>
  </si>
  <si>
    <t>Situation: An internet/ social media firm firm charges various prices for advertising a  key word. Key words are purchased by advertising customers (some platforms (Google) do that by bidding by customers).</t>
  </si>
  <si>
    <t xml:space="preserve">Total #  keywords sold </t>
  </si>
  <si>
    <t>Problem: Develop a price-tariff plan for the following situation. Price-traiff plan should say how prices vary according to the quantity purchased. This price-tariff plan is also called non-linear pricing model.</t>
  </si>
  <si>
    <t>Case-3: Redo the above calculations if cost per unit changes to zero from the third unit to the customer. Show the work for uniform pricing as well as for non-linear pricing models.</t>
  </si>
  <si>
    <t>Show the work for uniform pricing as well as for non-linear pricing models.</t>
  </si>
  <si>
    <t>Price&gt;&gt;</t>
  </si>
  <si>
    <t>Price-tariff plan</t>
  </si>
  <si>
    <t>q&gt;&gt;</t>
  </si>
  <si>
    <t>This generates total profit of $454</t>
  </si>
  <si>
    <t>or</t>
  </si>
  <si>
    <t>Total Units (3-5)</t>
  </si>
  <si>
    <t>Total Units bought (1-2)</t>
  </si>
  <si>
    <t>Profit (1-2)</t>
  </si>
  <si>
    <t>Profit(3-5)</t>
  </si>
  <si>
    <t>Total Profit)</t>
  </si>
  <si>
    <t>Non-Linear Pricing Model</t>
  </si>
  <si>
    <t>Uniform Pricing Model</t>
  </si>
  <si>
    <t>*numbers in the table below  are derived from the main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</si>
</sst>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8" fontId="0" fillId="2" borderId="0" xfId="0" applyNumberFormat="1" applyFill="1"/>
    <xf numFmtId="6" fontId="0" fillId="0" borderId="0" xfId="0" applyNumberFormat="1"/>
    <xf numFmtId="0" fontId="0" fillId="0" borderId="0" xfId="0" applyAlignment="1">
      <alignment wrapText="1"/>
    </xf>
    <xf numFmtId="44" fontId="0" fillId="2" borderId="0" xfId="1" applyFont="1" applyFill="1"/>
    <xf numFmtId="44" fontId="0" fillId="0" borderId="0" xfId="1" applyFont="1"/>
    <xf numFmtId="0" fontId="0" fillId="0" borderId="0" xfId="0" applyAlignment="1">
      <alignment horizontal="right"/>
    </xf>
    <xf numFmtId="44" fontId="0" fillId="2" borderId="0" xfId="0" applyNumberFormat="1" applyFill="1"/>
    <xf numFmtId="44" fontId="2" fillId="0" borderId="0" xfId="0" applyNumberFormat="1" applyFont="1" applyAlignment="1">
      <alignment horizontal="right"/>
    </xf>
    <xf numFmtId="0" fontId="0" fillId="3" borderId="0" xfId="0" applyFill="1"/>
    <xf numFmtId="44" fontId="0" fillId="3" borderId="0" xfId="0" applyNumberFormat="1" applyFill="1"/>
    <xf numFmtId="44" fontId="2" fillId="2" borderId="0" xfId="0" applyNumberFormat="1" applyFont="1" applyFill="1"/>
    <xf numFmtId="44" fontId="0" fillId="0" borderId="0" xfId="0" applyNumberFormat="1"/>
    <xf numFmtId="0" fontId="2" fillId="4" borderId="0" xfId="0" applyFont="1" applyFill="1" applyAlignment="1">
      <alignment wrapText="1"/>
    </xf>
    <xf numFmtId="44" fontId="0" fillId="0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EF92-7884-4676-8C61-F2F2B4CD96C3}">
  <dimension ref="A1:P147"/>
  <sheetViews>
    <sheetView tabSelected="1" topLeftCell="A89" zoomScale="90" zoomScaleNormal="90" workbookViewId="0">
      <selection activeCell="C73" sqref="C73"/>
    </sheetView>
  </sheetViews>
  <sheetFormatPr baseColWidth="10" defaultColWidth="8.83203125" defaultRowHeight="16" x14ac:dyDescent="0.2"/>
  <cols>
    <col min="3" max="3" width="10.1640625" customWidth="1"/>
    <col min="5" max="5" width="12.6640625" customWidth="1"/>
    <col min="6" max="6" width="13.33203125" customWidth="1"/>
    <col min="7" max="7" width="11" customWidth="1"/>
    <col min="9" max="9" width="18.6640625" customWidth="1"/>
    <col min="10" max="10" width="19.6640625" customWidth="1"/>
    <col min="11" max="11" width="10.6640625" customWidth="1"/>
    <col min="12" max="12" width="16.33203125" bestFit="1" customWidth="1"/>
    <col min="13" max="13" width="9.6640625" bestFit="1" customWidth="1"/>
    <col min="14" max="14" width="10.5" bestFit="1" customWidth="1"/>
  </cols>
  <sheetData>
    <row r="1" spans="1:14" x14ac:dyDescent="0.2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">
      <c r="A3" t="s">
        <v>21</v>
      </c>
    </row>
    <row r="4" spans="1:14" x14ac:dyDescent="0.2">
      <c r="A4" t="s">
        <v>17</v>
      </c>
    </row>
    <row r="7" spans="1:14" x14ac:dyDescent="0.2">
      <c r="A7" s="1" t="s">
        <v>19</v>
      </c>
    </row>
    <row r="9" spans="1:14" x14ac:dyDescent="0.2">
      <c r="E9" t="s">
        <v>14</v>
      </c>
    </row>
    <row r="10" spans="1:14" x14ac:dyDescent="0.2">
      <c r="F10" t="s">
        <v>15</v>
      </c>
      <c r="L10" t="s">
        <v>1</v>
      </c>
      <c r="N10" t="s">
        <v>2</v>
      </c>
    </row>
    <row r="11" spans="1:14" ht="51" x14ac:dyDescent="0.2">
      <c r="C11" s="6" t="s">
        <v>13</v>
      </c>
      <c r="D11" s="9" t="s">
        <v>28</v>
      </c>
      <c r="E11">
        <v>1</v>
      </c>
      <c r="F11">
        <v>2</v>
      </c>
      <c r="G11">
        <v>3</v>
      </c>
      <c r="H11">
        <v>4</v>
      </c>
      <c r="I11">
        <v>5</v>
      </c>
    </row>
    <row r="13" spans="1:14" x14ac:dyDescent="0.2">
      <c r="C13" s="7">
        <v>2</v>
      </c>
      <c r="D13" s="2"/>
      <c r="E13" s="2">
        <v>40</v>
      </c>
      <c r="F13" s="2">
        <v>35</v>
      </c>
      <c r="G13" s="2">
        <v>30</v>
      </c>
      <c r="H13" s="2">
        <v>25</v>
      </c>
      <c r="I13" s="2">
        <v>15</v>
      </c>
      <c r="L13" s="2">
        <f>SUMPRODUCT($E$11:$I$11,E13:I13)</f>
        <v>375</v>
      </c>
      <c r="N13" s="15">
        <f>L13*(C13-$C$19)</f>
        <v>375</v>
      </c>
    </row>
    <row r="14" spans="1:14" x14ac:dyDescent="0.2">
      <c r="C14" s="7">
        <v>3</v>
      </c>
      <c r="D14" s="2"/>
      <c r="E14" s="2">
        <v>35</v>
      </c>
      <c r="F14" s="2">
        <v>25</v>
      </c>
      <c r="G14" s="2">
        <v>20</v>
      </c>
      <c r="H14" s="2">
        <v>18</v>
      </c>
      <c r="I14" s="2">
        <v>2</v>
      </c>
      <c r="L14" s="2">
        <f>SUMPRODUCT($E$11:$I$11,E14:I14)</f>
        <v>227</v>
      </c>
      <c r="N14" s="3">
        <f t="shared" ref="N14:N16" si="0">L14*(C14-$C$19)</f>
        <v>454</v>
      </c>
    </row>
    <row r="15" spans="1:14" x14ac:dyDescent="0.2">
      <c r="C15" s="7">
        <v>4</v>
      </c>
      <c r="D15" s="2"/>
      <c r="E15" s="2">
        <v>20</v>
      </c>
      <c r="F15" s="2">
        <v>20</v>
      </c>
      <c r="G15" s="2">
        <v>15</v>
      </c>
      <c r="H15" s="2">
        <v>10</v>
      </c>
      <c r="I15" s="2">
        <v>0</v>
      </c>
      <c r="L15" s="2">
        <f>SUMPRODUCT($E$11:$I$11,E15:I15)</f>
        <v>145</v>
      </c>
      <c r="N15" s="11">
        <f>L15*(C15-$C$19)</f>
        <v>435</v>
      </c>
    </row>
    <row r="16" spans="1:14" x14ac:dyDescent="0.2">
      <c r="C16" s="7">
        <v>5</v>
      </c>
      <c r="D16" s="2"/>
      <c r="E16" s="2">
        <v>18</v>
      </c>
      <c r="F16" s="2">
        <v>15</v>
      </c>
      <c r="G16" s="2">
        <v>12</v>
      </c>
      <c r="H16" s="2">
        <v>5</v>
      </c>
      <c r="I16" s="2">
        <v>0</v>
      </c>
      <c r="L16" s="2">
        <f>SUMPRODUCT($E$11:$I$11,E16:I16)</f>
        <v>104</v>
      </c>
      <c r="N16">
        <f t="shared" si="0"/>
        <v>416</v>
      </c>
    </row>
    <row r="18" spans="1:16" x14ac:dyDescent="0.2">
      <c r="C18" t="s">
        <v>0</v>
      </c>
      <c r="E18" t="s">
        <v>0</v>
      </c>
    </row>
    <row r="19" spans="1:16" x14ac:dyDescent="0.2">
      <c r="C19" s="8">
        <v>1</v>
      </c>
      <c r="E19">
        <v>0</v>
      </c>
    </row>
    <row r="22" spans="1:16" x14ac:dyDescent="0.2">
      <c r="C22" s="3" t="s">
        <v>16</v>
      </c>
      <c r="D22" s="2"/>
      <c r="E22" s="2"/>
      <c r="F22" s="4">
        <v>3</v>
      </c>
      <c r="G22" s="2"/>
      <c r="H22" t="s">
        <v>29</v>
      </c>
    </row>
    <row r="27" spans="1:16" x14ac:dyDescent="0.2">
      <c r="A27" s="1" t="s">
        <v>18</v>
      </c>
      <c r="P27" t="s">
        <v>3</v>
      </c>
    </row>
    <row r="30" spans="1:16" x14ac:dyDescent="0.2">
      <c r="C30" s="1" t="s">
        <v>5</v>
      </c>
    </row>
    <row r="31" spans="1:16" x14ac:dyDescent="0.2">
      <c r="D31" t="s">
        <v>6</v>
      </c>
      <c r="E31">
        <v>1</v>
      </c>
      <c r="F31">
        <v>2</v>
      </c>
      <c r="G31">
        <v>3</v>
      </c>
      <c r="H31">
        <v>4</v>
      </c>
      <c r="I31">
        <v>5</v>
      </c>
    </row>
    <row r="33" spans="3:12" x14ac:dyDescent="0.2">
      <c r="C33" s="1" t="s">
        <v>4</v>
      </c>
      <c r="D33">
        <v>2</v>
      </c>
      <c r="E33" s="12">
        <f>SUM(E13:I13)</f>
        <v>145</v>
      </c>
      <c r="F33" s="12">
        <f>SUM(F13:I13)</f>
        <v>105</v>
      </c>
      <c r="G33" s="12">
        <f>SUM(G13:I13)</f>
        <v>70</v>
      </c>
      <c r="H33" s="12">
        <f>SUM(H13:I13)</f>
        <v>40</v>
      </c>
      <c r="I33" s="2">
        <f>I13</f>
        <v>15</v>
      </c>
    </row>
    <row r="34" spans="3:12" x14ac:dyDescent="0.2">
      <c r="D34">
        <v>3</v>
      </c>
      <c r="E34" s="12">
        <f>SUM(E14:I14)</f>
        <v>100</v>
      </c>
      <c r="F34" s="12">
        <f t="shared" ref="F34:F36" si="1">SUM(F14:I14)</f>
        <v>65</v>
      </c>
      <c r="G34" s="2">
        <f>SUM(G14:I14)</f>
        <v>40</v>
      </c>
      <c r="H34" s="2">
        <f t="shared" ref="H34:H36" si="2">SUM(H14:I14)</f>
        <v>20</v>
      </c>
      <c r="I34" s="12">
        <f t="shared" ref="I34:I36" si="3">I14</f>
        <v>2</v>
      </c>
    </row>
    <row r="35" spans="3:12" x14ac:dyDescent="0.2">
      <c r="D35">
        <v>4</v>
      </c>
      <c r="E35" s="12">
        <f t="shared" ref="E35" si="4">SUM(E15:I15)</f>
        <v>65</v>
      </c>
      <c r="F35" s="2">
        <f>SUM(F15:I15)</f>
        <v>45</v>
      </c>
      <c r="G35" s="12">
        <f t="shared" ref="G35:G36" si="5">SUM(G15:I15)</f>
        <v>25</v>
      </c>
      <c r="H35" s="12">
        <f t="shared" si="2"/>
        <v>10</v>
      </c>
      <c r="I35" s="12">
        <f t="shared" si="3"/>
        <v>0</v>
      </c>
    </row>
    <row r="36" spans="3:12" x14ac:dyDescent="0.2">
      <c r="D36">
        <v>5</v>
      </c>
      <c r="E36" s="2">
        <f>SUM(E16:I16)</f>
        <v>50</v>
      </c>
      <c r="F36" s="12">
        <f t="shared" si="1"/>
        <v>32</v>
      </c>
      <c r="G36" s="12">
        <f t="shared" si="5"/>
        <v>17</v>
      </c>
      <c r="H36" s="12">
        <f t="shared" si="2"/>
        <v>5</v>
      </c>
      <c r="I36" s="12">
        <f t="shared" si="3"/>
        <v>0</v>
      </c>
    </row>
    <row r="38" spans="3:12" x14ac:dyDescent="0.2">
      <c r="C38" s="1" t="s">
        <v>2</v>
      </c>
    </row>
    <row r="39" spans="3:12" x14ac:dyDescent="0.2">
      <c r="D39" t="s">
        <v>6</v>
      </c>
      <c r="E39">
        <v>1</v>
      </c>
      <c r="F39">
        <v>2</v>
      </c>
      <c r="G39">
        <v>3</v>
      </c>
      <c r="H39">
        <v>4</v>
      </c>
      <c r="I39">
        <v>5</v>
      </c>
    </row>
    <row r="40" spans="3:12" x14ac:dyDescent="0.2">
      <c r="C40" t="s">
        <v>26</v>
      </c>
      <c r="D40">
        <v>2</v>
      </c>
      <c r="E40" s="13">
        <f>E33*($D33-$C$19)</f>
        <v>145</v>
      </c>
      <c r="F40" s="12">
        <f t="shared" ref="F40:I40" si="6">F33*($D33-$C$19)</f>
        <v>105</v>
      </c>
      <c r="G40" s="13">
        <f>G33*($D33-$C$19)</f>
        <v>70</v>
      </c>
      <c r="H40" s="12">
        <f t="shared" si="6"/>
        <v>40</v>
      </c>
      <c r="I40" s="2">
        <f t="shared" si="6"/>
        <v>15</v>
      </c>
    </row>
    <row r="41" spans="3:12" x14ac:dyDescent="0.2">
      <c r="D41">
        <v>3</v>
      </c>
      <c r="E41" s="13">
        <f>E34*($D34-$C$19)</f>
        <v>200</v>
      </c>
      <c r="F41" s="12">
        <f t="shared" ref="E41:I43" si="7">F34*($D34-$C$19)</f>
        <v>130</v>
      </c>
      <c r="G41" s="10">
        <f>G34*($D34-$C$19)</f>
        <v>80</v>
      </c>
      <c r="H41" s="2">
        <f t="shared" si="7"/>
        <v>40</v>
      </c>
      <c r="I41" s="12">
        <f t="shared" si="7"/>
        <v>4</v>
      </c>
    </row>
    <row r="42" spans="3:12" x14ac:dyDescent="0.2">
      <c r="D42">
        <v>4</v>
      </c>
      <c r="E42" s="12">
        <f t="shared" si="7"/>
        <v>195</v>
      </c>
      <c r="F42" s="2">
        <f t="shared" si="7"/>
        <v>135</v>
      </c>
      <c r="G42" s="13">
        <f>G35*($D35-$C$19)</f>
        <v>75</v>
      </c>
      <c r="H42" s="12">
        <f t="shared" si="7"/>
        <v>30</v>
      </c>
      <c r="I42" s="12">
        <f t="shared" si="7"/>
        <v>0</v>
      </c>
    </row>
    <row r="43" spans="3:12" x14ac:dyDescent="0.2">
      <c r="D43">
        <v>5</v>
      </c>
      <c r="E43" s="10">
        <f>E36*($D36-$C$19)</f>
        <v>200</v>
      </c>
      <c r="F43" s="12">
        <f t="shared" si="7"/>
        <v>128</v>
      </c>
      <c r="G43" s="12">
        <f t="shared" si="7"/>
        <v>68</v>
      </c>
      <c r="H43" s="12">
        <f t="shared" si="7"/>
        <v>20</v>
      </c>
      <c r="I43" s="12">
        <f t="shared" si="7"/>
        <v>0</v>
      </c>
    </row>
    <row r="45" spans="3:12" x14ac:dyDescent="0.2">
      <c r="C45" s="1" t="s">
        <v>7</v>
      </c>
      <c r="E45" s="14">
        <f>E43+F42+G41+H41+I40</f>
        <v>470</v>
      </c>
      <c r="G45" t="s">
        <v>22</v>
      </c>
      <c r="I45" s="2">
        <f>E36*4+F35*4+G34*3+H34+I33*2</f>
        <v>550</v>
      </c>
      <c r="J45" t="s">
        <v>30</v>
      </c>
      <c r="L45">
        <f>E36+F35+G34+H34+I33</f>
        <v>170</v>
      </c>
    </row>
    <row r="47" spans="3:12" x14ac:dyDescent="0.2">
      <c r="C47" t="s">
        <v>8</v>
      </c>
    </row>
    <row r="49" spans="1:14" x14ac:dyDescent="0.2">
      <c r="C49" t="s">
        <v>27</v>
      </c>
    </row>
    <row r="50" spans="1:14" x14ac:dyDescent="0.2">
      <c r="D50" s="5">
        <v>4</v>
      </c>
      <c r="E50" t="s">
        <v>9</v>
      </c>
    </row>
    <row r="51" spans="1:14" x14ac:dyDescent="0.2">
      <c r="D51" s="5">
        <v>4</v>
      </c>
      <c r="E51" t="s">
        <v>10</v>
      </c>
    </row>
    <row r="52" spans="1:14" x14ac:dyDescent="0.2">
      <c r="D52" s="5">
        <v>3</v>
      </c>
      <c r="E52" t="s">
        <v>11</v>
      </c>
    </row>
    <row r="53" spans="1:14" x14ac:dyDescent="0.2">
      <c r="D53" s="5">
        <v>2</v>
      </c>
      <c r="E53" t="s">
        <v>12</v>
      </c>
    </row>
    <row r="56" spans="1:14" x14ac:dyDescent="0.2">
      <c r="A56" s="1" t="s">
        <v>24</v>
      </c>
    </row>
    <row r="57" spans="1:14" x14ac:dyDescent="0.2">
      <c r="C57" t="s">
        <v>14</v>
      </c>
    </row>
    <row r="58" spans="1:14" ht="51" x14ac:dyDescent="0.2">
      <c r="A58" s="16" t="s">
        <v>37</v>
      </c>
      <c r="D58" t="s">
        <v>15</v>
      </c>
      <c r="I58" s="6" t="s">
        <v>32</v>
      </c>
      <c r="J58" t="s">
        <v>31</v>
      </c>
      <c r="L58" t="s">
        <v>33</v>
      </c>
      <c r="M58" t="s">
        <v>34</v>
      </c>
      <c r="N58" t="s">
        <v>35</v>
      </c>
    </row>
    <row r="59" spans="1:14" ht="51" x14ac:dyDescent="0.2">
      <c r="A59" s="6" t="s">
        <v>13</v>
      </c>
      <c r="B59" s="9" t="s">
        <v>28</v>
      </c>
      <c r="C59">
        <v>1</v>
      </c>
      <c r="D59">
        <v>2</v>
      </c>
      <c r="E59">
        <v>3</v>
      </c>
      <c r="F59">
        <v>4</v>
      </c>
      <c r="G59">
        <v>5</v>
      </c>
    </row>
    <row r="61" spans="1:14" x14ac:dyDescent="0.2">
      <c r="A61" s="7">
        <v>2</v>
      </c>
      <c r="B61" s="2"/>
      <c r="C61" s="2">
        <v>40</v>
      </c>
      <c r="D61" s="2">
        <v>35</v>
      </c>
      <c r="E61" s="2">
        <v>30</v>
      </c>
      <c r="F61" s="2">
        <v>25</v>
      </c>
      <c r="G61" s="2">
        <v>15</v>
      </c>
      <c r="I61" s="2">
        <f>SUMPRODUCT(C59:D59,C61:D61)</f>
        <v>110</v>
      </c>
      <c r="J61" s="2">
        <f>SUMPRODUCT(E59:G59,E61:G61)</f>
        <v>265</v>
      </c>
      <c r="K61" s="2"/>
      <c r="L61" s="15">
        <f>I61*(A61-A67)</f>
        <v>110</v>
      </c>
      <c r="M61" s="15">
        <f>J61*(A61-C67)</f>
        <v>530</v>
      </c>
      <c r="N61" s="15">
        <f>SUM(L61:M61)</f>
        <v>640</v>
      </c>
    </row>
    <row r="62" spans="1:14" x14ac:dyDescent="0.2">
      <c r="A62" s="7">
        <v>3</v>
      </c>
      <c r="B62" s="2"/>
      <c r="C62" s="2">
        <v>35</v>
      </c>
      <c r="D62" s="2">
        <v>25</v>
      </c>
      <c r="E62" s="2">
        <v>20</v>
      </c>
      <c r="F62" s="2">
        <v>18</v>
      </c>
      <c r="G62" s="2">
        <v>2</v>
      </c>
      <c r="I62" s="2">
        <f>SUMPRODUCT(C59:D59,C62:D62)</f>
        <v>85</v>
      </c>
      <c r="J62" s="2">
        <f>SUMPRODUCT(E59:G59,E62:G62)</f>
        <v>142</v>
      </c>
      <c r="K62" s="2"/>
      <c r="L62" s="14">
        <f>I62*(A62-A67)</f>
        <v>170</v>
      </c>
      <c r="M62" s="15">
        <f>J62*(A62-C67)</f>
        <v>426</v>
      </c>
      <c r="N62" s="15">
        <f t="shared" ref="N62:N64" si="8">SUM(L62:M62)</f>
        <v>596</v>
      </c>
    </row>
    <row r="63" spans="1:14" x14ac:dyDescent="0.2">
      <c r="A63" s="7">
        <v>4</v>
      </c>
      <c r="B63" s="2"/>
      <c r="C63" s="2">
        <v>20</v>
      </c>
      <c r="D63" s="2">
        <v>20</v>
      </c>
      <c r="E63" s="2">
        <v>15</v>
      </c>
      <c r="F63" s="2">
        <v>10</v>
      </c>
      <c r="G63" s="2">
        <v>0</v>
      </c>
      <c r="I63" s="2">
        <f>SUMPRODUCT(C59:D59,C63:D63)</f>
        <v>60</v>
      </c>
      <c r="J63" s="2">
        <f>SUMPRODUCT(E59:G59,E63:G63)</f>
        <v>85</v>
      </c>
      <c r="K63" s="2"/>
      <c r="L63" s="11">
        <f>I63*(A63-$C$19)</f>
        <v>180</v>
      </c>
      <c r="M63" s="15">
        <f>J63*(A63-C67)</f>
        <v>340</v>
      </c>
      <c r="N63" s="15">
        <f t="shared" si="8"/>
        <v>520</v>
      </c>
    </row>
    <row r="64" spans="1:14" x14ac:dyDescent="0.2">
      <c r="A64" s="7">
        <v>5</v>
      </c>
      <c r="B64" s="2"/>
      <c r="C64" s="2">
        <v>18</v>
      </c>
      <c r="D64" s="2">
        <v>15</v>
      </c>
      <c r="E64" s="2">
        <v>12</v>
      </c>
      <c r="F64" s="2">
        <v>5</v>
      </c>
      <c r="G64" s="2">
        <v>0</v>
      </c>
      <c r="I64" s="2">
        <f>SUMPRODUCT(C59:D59,C64:D64)</f>
        <v>48</v>
      </c>
      <c r="J64" s="2">
        <f>SUMPRODUCT(E59:G59,E64:G64)</f>
        <v>56</v>
      </c>
      <c r="K64" s="2"/>
      <c r="L64">
        <f t="shared" ref="L64" si="9">I64*(A64-$C$19)</f>
        <v>192</v>
      </c>
      <c r="M64" s="15">
        <f>J64*(A64-C67)</f>
        <v>280</v>
      </c>
      <c r="N64" s="15">
        <f t="shared" si="8"/>
        <v>472</v>
      </c>
    </row>
    <row r="66" spans="1:9" x14ac:dyDescent="0.2">
      <c r="A66" t="s">
        <v>0</v>
      </c>
      <c r="C66" t="s">
        <v>0</v>
      </c>
    </row>
    <row r="67" spans="1:9" x14ac:dyDescent="0.2">
      <c r="A67" s="8">
        <v>1</v>
      </c>
      <c r="C67">
        <v>0</v>
      </c>
    </row>
    <row r="70" spans="1:9" x14ac:dyDescent="0.2">
      <c r="A70" s="3" t="s">
        <v>16</v>
      </c>
      <c r="B70" s="2"/>
      <c r="C70" s="2"/>
      <c r="D70" s="4">
        <v>3</v>
      </c>
      <c r="E70" s="2"/>
    </row>
    <row r="72" spans="1:9" ht="68" x14ac:dyDescent="0.2">
      <c r="A72" s="16" t="s">
        <v>36</v>
      </c>
      <c r="C72" t="s">
        <v>38</v>
      </c>
    </row>
    <row r="74" spans="1:9" x14ac:dyDescent="0.2">
      <c r="C74" s="1" t="s">
        <v>5</v>
      </c>
    </row>
    <row r="75" spans="1:9" x14ac:dyDescent="0.2">
      <c r="D75" t="s">
        <v>6</v>
      </c>
      <c r="E75">
        <v>1</v>
      </c>
      <c r="F75">
        <v>2</v>
      </c>
      <c r="G75">
        <v>3</v>
      </c>
      <c r="H75">
        <v>4</v>
      </c>
      <c r="I75">
        <v>5</v>
      </c>
    </row>
    <row r="77" spans="1:9" x14ac:dyDescent="0.2">
      <c r="C77" s="1" t="s">
        <v>4</v>
      </c>
      <c r="D77">
        <v>2</v>
      </c>
      <c r="E77">
        <f t="shared" ref="E77:E79" si="10">SUM(E13:I13)</f>
        <v>145</v>
      </c>
      <c r="F77">
        <f t="shared" ref="F77:F78" si="11">SUM(F13:I13)</f>
        <v>105</v>
      </c>
      <c r="G77">
        <f>SUM(G13:I13)</f>
        <v>70</v>
      </c>
      <c r="H77">
        <f>SUM(H13:I13)</f>
        <v>40</v>
      </c>
      <c r="I77" s="2">
        <f>I13</f>
        <v>15</v>
      </c>
    </row>
    <row r="78" spans="1:9" x14ac:dyDescent="0.2">
      <c r="D78">
        <v>3</v>
      </c>
      <c r="E78">
        <f t="shared" si="10"/>
        <v>100</v>
      </c>
      <c r="F78">
        <f t="shared" si="11"/>
        <v>65</v>
      </c>
      <c r="G78" s="2">
        <f>SUM(G14:I14)</f>
        <v>40</v>
      </c>
      <c r="H78" s="2">
        <f>SUM(H14:I14)</f>
        <v>20</v>
      </c>
      <c r="I78">
        <f t="shared" ref="I78:I80" si="12">I14</f>
        <v>2</v>
      </c>
    </row>
    <row r="79" spans="1:9" x14ac:dyDescent="0.2">
      <c r="D79">
        <v>4</v>
      </c>
      <c r="E79">
        <f t="shared" si="10"/>
        <v>65</v>
      </c>
      <c r="F79" s="2">
        <f>SUM(F15:I15)</f>
        <v>45</v>
      </c>
      <c r="G79">
        <f t="shared" ref="G79:G80" si="13">SUM(G15:I15)</f>
        <v>25</v>
      </c>
      <c r="H79">
        <f t="shared" ref="H79:H80" si="14">SUM(H15:I15)</f>
        <v>10</v>
      </c>
      <c r="I79">
        <f t="shared" si="12"/>
        <v>0</v>
      </c>
    </row>
    <row r="80" spans="1:9" x14ac:dyDescent="0.2">
      <c r="D80">
        <v>5</v>
      </c>
      <c r="E80" s="2">
        <f>SUM(E16:I16)</f>
        <v>50</v>
      </c>
      <c r="F80">
        <f>SUM(F16:I16)</f>
        <v>32</v>
      </c>
      <c r="G80">
        <f t="shared" si="13"/>
        <v>17</v>
      </c>
      <c r="H80">
        <f t="shared" si="14"/>
        <v>5</v>
      </c>
      <c r="I80">
        <f t="shared" si="12"/>
        <v>0</v>
      </c>
    </row>
    <row r="82" spans="3:12" x14ac:dyDescent="0.2">
      <c r="C82" s="1" t="s">
        <v>2</v>
      </c>
    </row>
    <row r="83" spans="3:12" x14ac:dyDescent="0.2">
      <c r="D83" t="s">
        <v>6</v>
      </c>
      <c r="E83">
        <v>1</v>
      </c>
      <c r="F83">
        <v>2</v>
      </c>
      <c r="G83">
        <v>3</v>
      </c>
      <c r="H83">
        <v>4</v>
      </c>
      <c r="I83">
        <v>5</v>
      </c>
    </row>
    <row r="84" spans="3:12" x14ac:dyDescent="0.2">
      <c r="C84" t="s">
        <v>26</v>
      </c>
      <c r="D84">
        <v>2</v>
      </c>
      <c r="E84" s="13">
        <f>E77*($D77-$C$19)</f>
        <v>145</v>
      </c>
      <c r="F84" s="12">
        <f t="shared" ref="F84" si="15">F77*($D77-$C$19)</f>
        <v>105</v>
      </c>
      <c r="G84" s="13">
        <f>G77*($D77-C67)</f>
        <v>140</v>
      </c>
      <c r="H84" s="12">
        <f>H77*($D77-C67)</f>
        <v>80</v>
      </c>
      <c r="I84" s="2">
        <f>I77*($D77-C67)</f>
        <v>30</v>
      </c>
    </row>
    <row r="85" spans="3:12" x14ac:dyDescent="0.2">
      <c r="D85">
        <v>3</v>
      </c>
      <c r="E85" s="13">
        <f>E78*($D78-$C$19)</f>
        <v>200</v>
      </c>
      <c r="F85" s="12">
        <f t="shared" ref="F85" si="16">F78*($D78-$C$19)</f>
        <v>130</v>
      </c>
      <c r="G85" s="10">
        <f>G78*($D78-C67)</f>
        <v>120</v>
      </c>
      <c r="H85" s="2">
        <f>H78*($D78-C67)</f>
        <v>60</v>
      </c>
      <c r="I85" s="12">
        <f>I78*($D78-C67)</f>
        <v>6</v>
      </c>
    </row>
    <row r="86" spans="3:12" x14ac:dyDescent="0.2">
      <c r="D86">
        <v>4</v>
      </c>
      <c r="E86" s="12">
        <f t="shared" ref="E86" si="17">E79*($D79-$C$19)</f>
        <v>195</v>
      </c>
      <c r="F86" s="10">
        <f>F79*($D79-A67)</f>
        <v>135</v>
      </c>
      <c r="G86" s="12">
        <f>G79*($D79-C67)</f>
        <v>100</v>
      </c>
      <c r="H86" s="12">
        <f>H79*($D79-C67)</f>
        <v>40</v>
      </c>
      <c r="I86" s="12">
        <f>I79*($D79-C67)</f>
        <v>0</v>
      </c>
    </row>
    <row r="87" spans="3:12" x14ac:dyDescent="0.2">
      <c r="D87">
        <v>5</v>
      </c>
      <c r="E87" s="10">
        <f>E80*($D80-A67)</f>
        <v>200</v>
      </c>
      <c r="F87" s="12">
        <f t="shared" ref="F87" si="18">F80*($D80-$C$19)</f>
        <v>128</v>
      </c>
      <c r="G87" s="12">
        <f>G80*($D80-C67)</f>
        <v>85</v>
      </c>
      <c r="H87" s="12">
        <f>H80*($D80-C67)</f>
        <v>25</v>
      </c>
      <c r="I87" s="12">
        <f>I80*($D80-C67)</f>
        <v>0</v>
      </c>
    </row>
    <row r="89" spans="3:12" x14ac:dyDescent="0.2">
      <c r="C89" s="1" t="s">
        <v>7</v>
      </c>
      <c r="E89" s="14">
        <f>E87+F86+G85+H85+I84</f>
        <v>545</v>
      </c>
      <c r="G89" t="s">
        <v>22</v>
      </c>
      <c r="I89" s="2">
        <f>E80*4+F79*4+G78*3+H78+I77*2</f>
        <v>550</v>
      </c>
      <c r="J89" t="s">
        <v>30</v>
      </c>
      <c r="L89">
        <f>E80+F79+G78+H78+I77</f>
        <v>170</v>
      </c>
    </row>
    <row r="91" spans="3:12" x14ac:dyDescent="0.2">
      <c r="C91" t="s">
        <v>8</v>
      </c>
    </row>
    <row r="93" spans="3:12" x14ac:dyDescent="0.2">
      <c r="C93" t="s">
        <v>27</v>
      </c>
    </row>
    <row r="94" spans="3:12" x14ac:dyDescent="0.2">
      <c r="D94" s="5">
        <v>4</v>
      </c>
      <c r="E94" t="s">
        <v>9</v>
      </c>
    </row>
    <row r="95" spans="3:12" x14ac:dyDescent="0.2">
      <c r="D95" s="5">
        <v>4</v>
      </c>
      <c r="E95" t="s">
        <v>10</v>
      </c>
    </row>
    <row r="96" spans="3:12" x14ac:dyDescent="0.2">
      <c r="D96" s="5">
        <v>3</v>
      </c>
      <c r="E96" t="s">
        <v>11</v>
      </c>
    </row>
    <row r="97" spans="1:14" x14ac:dyDescent="0.2">
      <c r="D97" s="5">
        <v>2</v>
      </c>
      <c r="E97" t="s">
        <v>12</v>
      </c>
    </row>
    <row r="100" spans="1:14" x14ac:dyDescent="0.2">
      <c r="A100" s="1" t="s">
        <v>20</v>
      </c>
    </row>
    <row r="101" spans="1:14" x14ac:dyDescent="0.2">
      <c r="A101" s="1" t="s">
        <v>25</v>
      </c>
    </row>
    <row r="105" spans="1:14" ht="51" x14ac:dyDescent="0.2">
      <c r="A105" s="16" t="s">
        <v>37</v>
      </c>
      <c r="D105" t="s">
        <v>15</v>
      </c>
      <c r="I105" s="6" t="s">
        <v>32</v>
      </c>
      <c r="J105" t="s">
        <v>31</v>
      </c>
      <c r="L105" t="s">
        <v>33</v>
      </c>
      <c r="M105" t="s">
        <v>34</v>
      </c>
      <c r="N105" t="s">
        <v>35</v>
      </c>
    </row>
    <row r="106" spans="1:14" ht="51" x14ac:dyDescent="0.2">
      <c r="A106" s="6" t="s">
        <v>13</v>
      </c>
      <c r="B106" s="9" t="s">
        <v>28</v>
      </c>
      <c r="C106">
        <v>1</v>
      </c>
      <c r="D106">
        <v>2</v>
      </c>
      <c r="E106">
        <v>3</v>
      </c>
      <c r="F106">
        <v>4</v>
      </c>
      <c r="G106">
        <v>5</v>
      </c>
    </row>
    <row r="108" spans="1:14" x14ac:dyDescent="0.2">
      <c r="A108" s="7">
        <v>2</v>
      </c>
      <c r="B108" s="2"/>
      <c r="C108" s="2">
        <v>40</v>
      </c>
      <c r="D108" s="2">
        <v>35</v>
      </c>
      <c r="E108" s="2">
        <v>30</v>
      </c>
      <c r="F108" s="2">
        <v>25</v>
      </c>
      <c r="G108" s="2">
        <v>15</v>
      </c>
      <c r="I108" s="2">
        <f>SUMPRODUCT(C106:D106,C108:D108)</f>
        <v>110</v>
      </c>
      <c r="J108" s="2">
        <f>SUMPRODUCT(E106:G106,E108:G108)</f>
        <v>265</v>
      </c>
      <c r="K108" s="2"/>
      <c r="L108" s="15">
        <f>I108*(A108-A114)</f>
        <v>110</v>
      </c>
      <c r="M108" s="15">
        <f>J108*(A108-C114)</f>
        <v>530</v>
      </c>
      <c r="N108" s="15">
        <f>SUM(L108:M108)</f>
        <v>640</v>
      </c>
    </row>
    <row r="109" spans="1:14" x14ac:dyDescent="0.2">
      <c r="A109" s="7">
        <v>3</v>
      </c>
      <c r="B109" s="2"/>
      <c r="C109" s="2">
        <v>35</v>
      </c>
      <c r="D109" s="2">
        <v>25</v>
      </c>
      <c r="E109" s="2">
        <v>20</v>
      </c>
      <c r="F109" s="2">
        <v>18</v>
      </c>
      <c r="G109" s="2">
        <v>2</v>
      </c>
      <c r="I109" s="2">
        <f>SUMPRODUCT(C106:D106,C109:D109)</f>
        <v>85</v>
      </c>
      <c r="J109" s="2">
        <f>SUMPRODUCT(E106:G106,E109:G109)</f>
        <v>142</v>
      </c>
      <c r="K109" s="2"/>
      <c r="L109" s="14">
        <f>I109*(A109-A114)</f>
        <v>170</v>
      </c>
      <c r="M109" s="15">
        <f>J109*(A109-C114)</f>
        <v>426</v>
      </c>
      <c r="N109" s="15">
        <f t="shared" ref="N109:N111" si="19">SUM(L109:M109)</f>
        <v>596</v>
      </c>
    </row>
    <row r="110" spans="1:14" x14ac:dyDescent="0.2">
      <c r="A110" s="7">
        <v>4</v>
      </c>
      <c r="B110" s="2"/>
      <c r="C110" s="2">
        <v>20</v>
      </c>
      <c r="D110" s="2">
        <v>20</v>
      </c>
      <c r="E110" s="2">
        <v>15</v>
      </c>
      <c r="F110" s="2">
        <v>10</v>
      </c>
      <c r="G110" s="2">
        <v>0</v>
      </c>
      <c r="I110" s="2">
        <f>SUMPRODUCT(C106:D106,C110:D110)</f>
        <v>60</v>
      </c>
      <c r="J110" s="2">
        <f>SUMPRODUCT(E106:G106,E110:G110)</f>
        <v>85</v>
      </c>
      <c r="K110" s="2"/>
      <c r="L110" s="11">
        <f>I110*(A110-$C$19)</f>
        <v>180</v>
      </c>
      <c r="M110" s="15">
        <f>J110*(A110-C114)</f>
        <v>340</v>
      </c>
      <c r="N110" s="15">
        <f t="shared" si="19"/>
        <v>520</v>
      </c>
    </row>
    <row r="111" spans="1:14" x14ac:dyDescent="0.2">
      <c r="A111" s="7">
        <v>5</v>
      </c>
      <c r="B111" s="2"/>
      <c r="C111" s="2">
        <v>18</v>
      </c>
      <c r="D111" s="2">
        <v>15</v>
      </c>
      <c r="E111" s="2">
        <v>12</v>
      </c>
      <c r="F111" s="2">
        <v>5</v>
      </c>
      <c r="G111" s="2">
        <v>0</v>
      </c>
      <c r="I111" s="2">
        <f>SUMPRODUCT(C106:D106,C111:D111)</f>
        <v>48</v>
      </c>
      <c r="J111" s="2">
        <f>SUMPRODUCT(E106:G106,E111:G111)</f>
        <v>56</v>
      </c>
      <c r="K111" s="2"/>
      <c r="L111">
        <f t="shared" ref="L111" si="20">I111*(A111-$C$19)</f>
        <v>192</v>
      </c>
      <c r="M111" s="15">
        <f>J111*(A111-C114)</f>
        <v>280</v>
      </c>
      <c r="N111" s="15">
        <f t="shared" si="19"/>
        <v>472</v>
      </c>
    </row>
    <row r="112" spans="1:14" x14ac:dyDescent="0.2">
      <c r="A112" s="7">
        <v>10</v>
      </c>
      <c r="B112" s="2"/>
      <c r="C112" s="2">
        <v>12</v>
      </c>
      <c r="D112" s="2">
        <v>7</v>
      </c>
      <c r="E112" s="2">
        <v>3</v>
      </c>
      <c r="F112" s="2">
        <v>2</v>
      </c>
      <c r="G112" s="2">
        <v>0</v>
      </c>
      <c r="I112" s="2">
        <f>SUMPRODUCT(C106:D106,C112:D112)</f>
        <v>26</v>
      </c>
      <c r="J112" s="2">
        <f>SUMPRODUCT(E106:G106,E112:G112)</f>
        <v>17</v>
      </c>
      <c r="L112" s="15">
        <f>I112*(A112-$C$19)</f>
        <v>234</v>
      </c>
      <c r="M112" s="15">
        <f>J112*(A112-C114)</f>
        <v>170</v>
      </c>
      <c r="N112" s="15">
        <f>SUM(L112:M112)</f>
        <v>404</v>
      </c>
    </row>
    <row r="113" spans="1:9" x14ac:dyDescent="0.2">
      <c r="A113" t="s">
        <v>0</v>
      </c>
      <c r="C113" t="s">
        <v>0</v>
      </c>
    </row>
    <row r="114" spans="1:9" x14ac:dyDescent="0.2">
      <c r="A114" s="8">
        <v>1</v>
      </c>
      <c r="C114">
        <v>0</v>
      </c>
    </row>
    <row r="117" spans="1:9" x14ac:dyDescent="0.2">
      <c r="A117" s="3" t="s">
        <v>16</v>
      </c>
      <c r="B117" s="2"/>
      <c r="C117" s="2"/>
      <c r="D117" s="4">
        <v>3</v>
      </c>
      <c r="E117" s="2"/>
    </row>
    <row r="122" spans="1:9" x14ac:dyDescent="0.2">
      <c r="C122" s="1" t="s">
        <v>5</v>
      </c>
    </row>
    <row r="123" spans="1:9" x14ac:dyDescent="0.2">
      <c r="D123" t="s">
        <v>6</v>
      </c>
      <c r="E123">
        <v>1</v>
      </c>
      <c r="F123">
        <v>2</v>
      </c>
      <c r="G123">
        <v>3</v>
      </c>
      <c r="H123">
        <v>4</v>
      </c>
      <c r="I123">
        <v>5</v>
      </c>
    </row>
    <row r="125" spans="1:9" x14ac:dyDescent="0.2">
      <c r="A125" s="6"/>
      <c r="C125" s="1" t="s">
        <v>4</v>
      </c>
      <c r="D125">
        <v>2</v>
      </c>
      <c r="E125">
        <f t="shared" ref="E125:E126" si="21">SUM(E13:I13)</f>
        <v>145</v>
      </c>
      <c r="F125">
        <f t="shared" ref="F125:F126" si="22">SUM(F13:I13)</f>
        <v>105</v>
      </c>
      <c r="G125">
        <f>SUM(G13:I13)</f>
        <v>70</v>
      </c>
      <c r="H125">
        <f>SUM(H13:I13)</f>
        <v>40</v>
      </c>
      <c r="I125" s="2">
        <f>I13</f>
        <v>15</v>
      </c>
    </row>
    <row r="126" spans="1:9" x14ac:dyDescent="0.2">
      <c r="D126">
        <v>3</v>
      </c>
      <c r="E126">
        <f t="shared" si="21"/>
        <v>100</v>
      </c>
      <c r="F126">
        <f t="shared" si="22"/>
        <v>65</v>
      </c>
      <c r="G126" s="2">
        <f>SUM(G14:I14)</f>
        <v>40</v>
      </c>
      <c r="H126" s="2">
        <f>SUM(H14:I14)</f>
        <v>20</v>
      </c>
      <c r="I126">
        <f t="shared" ref="I126:I128" si="23">I14</f>
        <v>2</v>
      </c>
    </row>
    <row r="127" spans="1:9" x14ac:dyDescent="0.2">
      <c r="D127">
        <v>4</v>
      </c>
      <c r="E127">
        <f>SUM(E15:I15)</f>
        <v>65</v>
      </c>
      <c r="F127" s="2">
        <f>SUM(F15:I15)</f>
        <v>45</v>
      </c>
      <c r="G127">
        <f t="shared" ref="G127:G128" si="24">SUM(G15:I15)</f>
        <v>25</v>
      </c>
      <c r="H127">
        <f t="shared" ref="H127:H128" si="25">SUM(H15:I15)</f>
        <v>10</v>
      </c>
      <c r="I127">
        <f t="shared" si="23"/>
        <v>0</v>
      </c>
    </row>
    <row r="128" spans="1:9" x14ac:dyDescent="0.2">
      <c r="D128">
        <v>5</v>
      </c>
      <c r="E128" s="2">
        <f>SUM(E16:I16)</f>
        <v>50</v>
      </c>
      <c r="F128">
        <f>SUM(F16:I16)</f>
        <v>32</v>
      </c>
      <c r="G128">
        <f t="shared" si="24"/>
        <v>17</v>
      </c>
      <c r="H128">
        <f t="shared" si="25"/>
        <v>5</v>
      </c>
      <c r="I128">
        <f t="shared" si="23"/>
        <v>0</v>
      </c>
    </row>
    <row r="129" spans="3:12" x14ac:dyDescent="0.2">
      <c r="D129" s="17">
        <v>10</v>
      </c>
      <c r="E129">
        <f>SUM(C112:G112)</f>
        <v>24</v>
      </c>
      <c r="F129">
        <f>SUM(D112:G112)</f>
        <v>12</v>
      </c>
      <c r="G129">
        <f>SUM(E112:G112)</f>
        <v>5</v>
      </c>
      <c r="H129">
        <f>SUM(F112:G112)</f>
        <v>2</v>
      </c>
      <c r="I129">
        <f>SUM(G112)</f>
        <v>0</v>
      </c>
    </row>
    <row r="130" spans="3:12" x14ac:dyDescent="0.2">
      <c r="D130" s="17"/>
    </row>
    <row r="131" spans="3:12" x14ac:dyDescent="0.2">
      <c r="C131" s="1" t="s">
        <v>2</v>
      </c>
    </row>
    <row r="132" spans="3:12" x14ac:dyDescent="0.2">
      <c r="D132" t="s">
        <v>6</v>
      </c>
      <c r="E132">
        <v>1</v>
      </c>
      <c r="F132">
        <v>2</v>
      </c>
      <c r="G132">
        <v>3</v>
      </c>
      <c r="H132">
        <v>4</v>
      </c>
      <c r="I132">
        <v>5</v>
      </c>
    </row>
    <row r="133" spans="3:12" x14ac:dyDescent="0.2">
      <c r="C133" t="s">
        <v>26</v>
      </c>
      <c r="D133">
        <v>2</v>
      </c>
      <c r="E133" s="13">
        <f>E125*($D125-$C$19)</f>
        <v>145</v>
      </c>
      <c r="F133" s="13">
        <f>F125*($D125-$C$19)</f>
        <v>105</v>
      </c>
      <c r="G133" s="13">
        <f>G125*($D125-C114)</f>
        <v>140</v>
      </c>
      <c r="H133" s="12">
        <f>H125*($D125-C114)</f>
        <v>80</v>
      </c>
      <c r="I133" s="2">
        <f>I125*($D125-C114)</f>
        <v>30</v>
      </c>
    </row>
    <row r="134" spans="3:12" x14ac:dyDescent="0.2">
      <c r="D134">
        <v>3</v>
      </c>
      <c r="E134" s="13">
        <f>E126*($D126-$C$19)</f>
        <v>200</v>
      </c>
      <c r="F134" s="13">
        <f>F126*($D126-$C$19)</f>
        <v>130</v>
      </c>
      <c r="G134" s="10">
        <f>G126*($D126-C114)</f>
        <v>120</v>
      </c>
      <c r="H134" s="2">
        <f>H126*($D126-C114)</f>
        <v>60</v>
      </c>
      <c r="I134" s="12">
        <f>I126*($D126-C114)</f>
        <v>6</v>
      </c>
    </row>
    <row r="135" spans="3:12" x14ac:dyDescent="0.2">
      <c r="D135">
        <v>4</v>
      </c>
      <c r="E135" s="13">
        <f>E127*($D127-$C$19)</f>
        <v>195</v>
      </c>
      <c r="F135" s="10">
        <f>F127*($D127-A114)</f>
        <v>135</v>
      </c>
      <c r="G135" s="12">
        <f>G127*($D127-C114)</f>
        <v>100</v>
      </c>
      <c r="H135" s="12">
        <f>H127*($D127-C114)</f>
        <v>40</v>
      </c>
      <c r="I135" s="12">
        <f>I127*($D127-C114)</f>
        <v>0</v>
      </c>
    </row>
    <row r="136" spans="3:12" x14ac:dyDescent="0.2">
      <c r="D136">
        <v>5</v>
      </c>
      <c r="E136" s="10">
        <f>E128*($D128-A114)</f>
        <v>200</v>
      </c>
      <c r="F136" s="13">
        <f>F128*($D128-$C$19)</f>
        <v>128</v>
      </c>
      <c r="G136" s="12">
        <f>G128*($D128-C114)</f>
        <v>85</v>
      </c>
      <c r="H136" s="12">
        <f>H128*($D128-C114)</f>
        <v>25</v>
      </c>
      <c r="I136" s="12">
        <f>I128*($D128-C114)</f>
        <v>0</v>
      </c>
    </row>
    <row r="137" spans="3:12" x14ac:dyDescent="0.2">
      <c r="D137">
        <v>10</v>
      </c>
      <c r="E137" s="15">
        <f>E129*($D129-A114)</f>
        <v>216</v>
      </c>
      <c r="F137" s="13">
        <f>F129*($D129-$C$19)</f>
        <v>108</v>
      </c>
      <c r="G137" s="13">
        <f>G129*($D129-C114)</f>
        <v>50</v>
      </c>
      <c r="H137" s="13">
        <f>H129*($D129-C114)</f>
        <v>20</v>
      </c>
      <c r="I137" s="13">
        <f>I129*($D129-C114)</f>
        <v>0</v>
      </c>
    </row>
    <row r="138" spans="3:12" x14ac:dyDescent="0.2">
      <c r="E138" s="15"/>
      <c r="F138" s="13"/>
      <c r="G138" s="13"/>
      <c r="H138" s="13"/>
      <c r="I138" s="13"/>
    </row>
    <row r="139" spans="3:12" x14ac:dyDescent="0.2">
      <c r="C139" s="1" t="s">
        <v>7</v>
      </c>
      <c r="E139" s="14">
        <f>E136+F135+G134+H134+I133</f>
        <v>545</v>
      </c>
      <c r="G139" t="s">
        <v>22</v>
      </c>
      <c r="I139" s="2">
        <f>E128*4+F127*4+G126*3+H126+I125*2</f>
        <v>550</v>
      </c>
      <c r="J139" t="s">
        <v>30</v>
      </c>
      <c r="L139">
        <f>E128+F127+G126+H126+I125</f>
        <v>170</v>
      </c>
    </row>
    <row r="141" spans="3:12" x14ac:dyDescent="0.2">
      <c r="C141" t="s">
        <v>8</v>
      </c>
    </row>
    <row r="143" spans="3:12" x14ac:dyDescent="0.2">
      <c r="C143" t="s">
        <v>27</v>
      </c>
    </row>
    <row r="144" spans="3:12" x14ac:dyDescent="0.2">
      <c r="D144" s="5">
        <v>4</v>
      </c>
      <c r="E144" t="s">
        <v>9</v>
      </c>
    </row>
    <row r="145" spans="4:5" x14ac:dyDescent="0.2">
      <c r="D145" s="5">
        <v>4</v>
      </c>
      <c r="E145" t="s">
        <v>10</v>
      </c>
    </row>
    <row r="146" spans="4:5" x14ac:dyDescent="0.2">
      <c r="D146" s="5">
        <v>3</v>
      </c>
      <c r="E146" t="s">
        <v>11</v>
      </c>
    </row>
    <row r="147" spans="4:5" x14ac:dyDescent="0.2">
      <c r="D147" s="5">
        <v>2</v>
      </c>
      <c r="E14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Richards, Joseph B</dc:creator>
  <cp:lastModifiedBy>Kaur, Manvir</cp:lastModifiedBy>
  <dcterms:created xsi:type="dcterms:W3CDTF">2024-10-15T00:45:45Z</dcterms:created>
  <dcterms:modified xsi:type="dcterms:W3CDTF">2025-12-03T23:31:19Z</dcterms:modified>
</cp:coreProperties>
</file>