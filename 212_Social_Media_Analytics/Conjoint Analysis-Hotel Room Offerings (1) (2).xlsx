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vir Kaur\Downloads\"/>
    </mc:Choice>
  </mc:AlternateContent>
  <xr:revisionPtr revIDLastSave="0" documentId="13_ncr:1_{209B0785-65F1-4DD8-A458-35CEF5BFEB36}" xr6:coauthVersionLast="47" xr6:coauthVersionMax="47" xr10:uidLastSave="{00000000-0000-0000-0000-000000000000}"/>
  <bookViews>
    <workbookView xWindow="390" yWindow="825" windowWidth="22005" windowHeight="20520" xr2:uid="{BDCB59C3-B8B3-4BA3-AC0B-40F3EB888224}"/>
  </bookViews>
  <sheets>
    <sheet name="Hotel_Conjoint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Hotel_Conjoint!$J$128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34" i="1" l="1"/>
  <c r="P135" i="1"/>
  <c r="P136" i="1"/>
  <c r="P137" i="1"/>
  <c r="P138" i="1"/>
  <c r="P139" i="1"/>
  <c r="P140" i="1"/>
  <c r="P141" i="1"/>
  <c r="P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33" i="1"/>
  <c r="C85" i="1" l="1"/>
  <c r="C89" i="1"/>
  <c r="C94" i="1"/>
  <c r="C95" i="1"/>
  <c r="C91" i="1"/>
  <c r="C87" i="1"/>
  <c r="C81" i="1"/>
  <c r="C82" i="1"/>
  <c r="I31" i="1" l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30" i="1"/>
  <c r="C31" i="1" l="1"/>
  <c r="D31" i="1"/>
  <c r="E31" i="1"/>
  <c r="F31" i="1"/>
  <c r="G31" i="1"/>
  <c r="H31" i="1"/>
  <c r="J31" i="1"/>
  <c r="C32" i="1"/>
  <c r="D32" i="1"/>
  <c r="E32" i="1"/>
  <c r="F32" i="1"/>
  <c r="G32" i="1"/>
  <c r="H32" i="1"/>
  <c r="J32" i="1"/>
  <c r="C33" i="1"/>
  <c r="D33" i="1"/>
  <c r="E33" i="1"/>
  <c r="F33" i="1"/>
  <c r="G33" i="1"/>
  <c r="H33" i="1"/>
  <c r="J33" i="1"/>
  <c r="C34" i="1"/>
  <c r="D34" i="1"/>
  <c r="E34" i="1"/>
  <c r="F34" i="1"/>
  <c r="G34" i="1"/>
  <c r="H34" i="1"/>
  <c r="J34" i="1"/>
  <c r="C35" i="1"/>
  <c r="D35" i="1"/>
  <c r="E35" i="1"/>
  <c r="F35" i="1"/>
  <c r="G35" i="1"/>
  <c r="H35" i="1"/>
  <c r="J35" i="1"/>
  <c r="C36" i="1"/>
  <c r="D36" i="1"/>
  <c r="E36" i="1"/>
  <c r="F36" i="1"/>
  <c r="G36" i="1"/>
  <c r="H36" i="1"/>
  <c r="J36" i="1"/>
  <c r="C37" i="1"/>
  <c r="D37" i="1"/>
  <c r="E37" i="1"/>
  <c r="F37" i="1"/>
  <c r="G37" i="1"/>
  <c r="H37" i="1"/>
  <c r="J37" i="1"/>
  <c r="C38" i="1"/>
  <c r="D38" i="1"/>
  <c r="E38" i="1"/>
  <c r="F38" i="1"/>
  <c r="G38" i="1"/>
  <c r="H38" i="1"/>
  <c r="J38" i="1"/>
  <c r="C39" i="1"/>
  <c r="D39" i="1"/>
  <c r="E39" i="1"/>
  <c r="F39" i="1"/>
  <c r="G39" i="1"/>
  <c r="H39" i="1"/>
  <c r="J39" i="1"/>
  <c r="C40" i="1"/>
  <c r="D40" i="1"/>
  <c r="E40" i="1"/>
  <c r="F40" i="1"/>
  <c r="G40" i="1"/>
  <c r="H40" i="1"/>
  <c r="J40" i="1"/>
  <c r="C41" i="1"/>
  <c r="D41" i="1"/>
  <c r="E41" i="1"/>
  <c r="F41" i="1"/>
  <c r="G41" i="1"/>
  <c r="H41" i="1"/>
  <c r="J41" i="1"/>
  <c r="C42" i="1"/>
  <c r="D42" i="1"/>
  <c r="E42" i="1"/>
  <c r="F42" i="1"/>
  <c r="G42" i="1"/>
  <c r="H42" i="1"/>
  <c r="J42" i="1"/>
  <c r="C43" i="1"/>
  <c r="D43" i="1"/>
  <c r="E43" i="1"/>
  <c r="F43" i="1"/>
  <c r="G43" i="1"/>
  <c r="H43" i="1"/>
  <c r="J43" i="1"/>
  <c r="C44" i="1"/>
  <c r="D44" i="1"/>
  <c r="E44" i="1"/>
  <c r="F44" i="1"/>
  <c r="G44" i="1"/>
  <c r="H44" i="1"/>
  <c r="J44" i="1"/>
  <c r="J30" i="1"/>
  <c r="H30" i="1"/>
  <c r="G30" i="1"/>
  <c r="F30" i="1"/>
  <c r="E30" i="1"/>
  <c r="D30" i="1"/>
  <c r="C30" i="1"/>
  <c r="I121" i="1" l="1"/>
  <c r="H121" i="1"/>
  <c r="E121" i="1"/>
  <c r="C121" i="1"/>
  <c r="I120" i="1"/>
  <c r="F120" i="1"/>
  <c r="J119" i="1"/>
  <c r="H119" i="1"/>
  <c r="D119" i="1"/>
  <c r="C93" i="1"/>
  <c r="C86" i="1"/>
  <c r="C83" i="1"/>
  <c r="C97" i="1" l="1"/>
  <c r="C98" i="1"/>
  <c r="N119" i="1" a="1"/>
  <c r="N119" i="1" s="1"/>
  <c r="D94" i="1" l="1"/>
  <c r="D95" i="1"/>
  <c r="D89" i="1"/>
  <c r="D91" i="1"/>
  <c r="D83" i="1"/>
  <c r="D90" i="1"/>
  <c r="D86" i="1"/>
  <c r="D82" i="1"/>
  <c r="D81" i="1"/>
  <c r="D85" i="1"/>
  <c r="D93" i="1"/>
  <c r="D87" i="1"/>
  <c r="F90" i="1" l="1"/>
  <c r="F86" i="1"/>
  <c r="F82" i="1"/>
  <c r="F94" i="1"/>
  <c r="F99" i="1" l="1"/>
  <c r="I94" i="1" s="1"/>
  <c r="I90" i="1" l="1"/>
  <c r="I82" i="1"/>
  <c r="I86" i="1"/>
  <c r="I99" i="1" l="1"/>
  <c r="N121" i="1"/>
  <c r="N120" i="1"/>
  <c r="P119" i="1" s="1"/>
  <c r="P120" i="1" l="1"/>
  <c r="P121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<sst xmlns="http://schemas.openxmlformats.org/spreadsheetml/2006/main" count="206" uniqueCount="102">
  <si>
    <t>#</t>
  </si>
  <si>
    <t>Price</t>
  </si>
  <si>
    <t>REGRESSION SET-UP</t>
  </si>
  <si>
    <t>Rating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</si>
  <si>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</si>
  <si>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</si>
  <si>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</si>
  <si>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</si>
  <si>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</si>
  <si>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</si>
  <si>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</si>
  <si>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</si>
  <si>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</si>
  <si>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</si>
  <si>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</si>
  <si>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</si>
  <si>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</si>
  <si>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</si>
  <si>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</si>
  <si>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</si>
  <si>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</si>
  <si>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</si>
  <si>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</si>
  <si>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</si>
  <si>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</si>
  <si>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</si>
  <si>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</si>
  <si>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</si>
  <si>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Ranking of Attributes and Levels</t>
  </si>
  <si>
    <t>Attribute</t>
  </si>
  <si>
    <t>Coefficient</t>
  </si>
  <si>
    <t>Utility/Partworth</t>
  </si>
  <si>
    <t>Attribute Spread</t>
  </si>
  <si>
    <t>% Importance</t>
  </si>
  <si>
    <t xml:space="preserve"> </t>
  </si>
  <si>
    <t>Total Spread</t>
  </si>
  <si>
    <t>Market Share</t>
  </si>
  <si>
    <t>A</t>
  </si>
  <si>
    <t>B</t>
  </si>
  <si>
    <t>C</t>
  </si>
  <si>
    <t>Max</t>
  </si>
  <si>
    <t>Min</t>
  </si>
  <si>
    <t xml:space="preserve">Brand </t>
  </si>
  <si>
    <t>Hilton</t>
  </si>
  <si>
    <t>Mariott</t>
  </si>
  <si>
    <t>Holiday Inn</t>
  </si>
  <si>
    <t>Brand Hilton?</t>
  </si>
  <si>
    <t>Brand Mariott?</t>
  </si>
  <si>
    <t>Tripadvisor Ratings</t>
  </si>
  <si>
    <t>4.5 above</t>
  </si>
  <si>
    <t>High</t>
  </si>
  <si>
    <t>Medium</t>
  </si>
  <si>
    <t>4 and 4.5</t>
  </si>
  <si>
    <t>Below 4</t>
  </si>
  <si>
    <t>Low</t>
  </si>
  <si>
    <t>Trip Adv Ratings</t>
  </si>
  <si>
    <t>&gt;1000</t>
  </si>
  <si>
    <t>500-1000</t>
  </si>
  <si>
    <t>&lt;1000</t>
  </si>
  <si>
    <t># of Reviews</t>
  </si>
  <si>
    <t>High_Rev?</t>
  </si>
  <si>
    <t>High_Ratings?</t>
  </si>
  <si>
    <t>Low_Rev?</t>
  </si>
  <si>
    <t>Low_Ratings?</t>
  </si>
  <si>
    <t>Price_400?</t>
  </si>
  <si>
    <t>Low_Ratings</t>
  </si>
  <si>
    <t>High_Ratings</t>
  </si>
  <si>
    <t>Medium_Ratings</t>
  </si>
  <si>
    <t>Total Number of Reviews</t>
  </si>
  <si>
    <t>High_#Reviews</t>
  </si>
  <si>
    <t>Low_#Reviews</t>
  </si>
  <si>
    <t>Medium_#Reviews</t>
  </si>
  <si>
    <t>New Offering Market Share Prediction</t>
  </si>
  <si>
    <t>C. ESTIMATING MARKET SHARES IN A  HETEROGENEOUS MARKET OF CUSTOMERS</t>
  </si>
  <si>
    <t>Conjoint analysis enables detecting and quantifying the existence of different segments in the population; that is, groups of individuals that are relatively similar in their preferences for products in the category (i.e. which attribute levels are more important to them).</t>
  </si>
  <si>
    <t>Consider the following 10 consumer responses and their partworths as measured in a second study conducted by the car company GM:</t>
  </si>
  <si>
    <t>Estimate the relative market shares of Models A, B, and C given below.</t>
  </si>
  <si>
    <t>ID</t>
  </si>
  <si>
    <t>30% market share</t>
  </si>
  <si>
    <t>High_Reviews</t>
  </si>
  <si>
    <t>Low_Reviews</t>
  </si>
  <si>
    <t>High Ratings</t>
  </si>
  <si>
    <t>LowRatings</t>
  </si>
  <si>
    <t>Choice A</t>
  </si>
  <si>
    <t>Choice B</t>
  </si>
  <si>
    <t>Choice C</t>
  </si>
  <si>
    <t>Choice A:  Hilton, High Reviews, High Ratings, for $200.</t>
  </si>
  <si>
    <t>Choice B: Mariott, Medium Reviews, Medium Ratings, $200.</t>
  </si>
  <si>
    <t>Choice C: Holiday Inn, High Reviews, Low Ratings, $200.</t>
  </si>
  <si>
    <t>Choice A is preferred 3/10</t>
  </si>
  <si>
    <t>Choice B is preferred 4/10</t>
  </si>
  <si>
    <t>Choice C is preferred 3/10</t>
  </si>
  <si>
    <t>Utility Values</t>
  </si>
  <si>
    <t>CHOICE OPTIONS</t>
  </si>
  <si>
    <t>Preferred Choice</t>
  </si>
  <si>
    <t>B. ESTIMATING MARKET SHARES IN A HOMEGENEOUS MARKET</t>
  </si>
  <si>
    <t>Please rate each of the following Hotel Room offerings by selecting the number on the 7-point preference scale (1 = lowest, 15 = highest) that best reflects your willingness to purchase that option. Each car option is described on a separate row.</t>
  </si>
  <si>
    <t>Rating (1 to 15)</t>
  </si>
  <si>
    <t>Price_300?</t>
  </si>
  <si>
    <t>Market Share of A</t>
  </si>
  <si>
    <t>Market Share of B</t>
  </si>
  <si>
    <t>Market Share of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</si>
</sst>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left"/>
    </xf>
    <xf numFmtId="2" fontId="5" fillId="2" borderId="0" xfId="0" applyNumberFormat="1" applyFont="1" applyFill="1"/>
    <xf numFmtId="10" fontId="5" fillId="2" borderId="0" xfId="0" applyNumberFormat="1" applyFont="1" applyFill="1"/>
    <xf numFmtId="0" fontId="1" fillId="3" borderId="0" xfId="0" applyFont="1" applyFill="1"/>
    <xf numFmtId="0" fontId="0" fillId="3" borderId="0" xfId="0" applyFill="1"/>
    <xf numFmtId="10" fontId="0" fillId="3" borderId="0" xfId="0" applyNumberFormat="1" applyFill="1"/>
    <xf numFmtId="0" fontId="2" fillId="3" borderId="0" xfId="0" applyFont="1" applyFill="1" applyAlignment="1">
      <alignment horizontal="center" wrapText="1"/>
    </xf>
    <xf numFmtId="6" fontId="5" fillId="2" borderId="0" xfId="0" applyNumberFormat="1" applyFont="1" applyFill="1" applyAlignment="1">
      <alignment horizontal="left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/>
    <xf numFmtId="0" fontId="1" fillId="0" borderId="0" xfId="0" applyFont="1" applyAlignment="1">
      <alignment horizontal="center" vertical="center" wrapText="1"/>
    </xf>
    <xf numFmtId="6" fontId="1" fillId="0" borderId="0" xfId="0" applyNumberFormat="1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9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vertical="center" wrapText="1"/>
    </xf>
    <xf numFmtId="0" fontId="5" fillId="3" borderId="0" xfId="0" applyFont="1" applyFill="1"/>
    <xf numFmtId="0" fontId="5" fillId="6" borderId="0" xfId="0" applyFont="1" applyFill="1"/>
    <xf numFmtId="2" fontId="5" fillId="6" borderId="0" xfId="0" applyNumberFormat="1" applyFont="1" applyFill="1"/>
    <xf numFmtId="2" fontId="5" fillId="7" borderId="0" xfId="0" applyNumberFormat="1" applyFont="1" applyFill="1"/>
    <xf numFmtId="0" fontId="5" fillId="7" borderId="0" xfId="0" applyFont="1" applyFill="1"/>
    <xf numFmtId="10" fontId="5" fillId="7" borderId="0" xfId="0" applyNumberFormat="1" applyFont="1" applyFill="1"/>
    <xf numFmtId="164" fontId="5" fillId="7" borderId="0" xfId="0" applyNumberFormat="1" applyFont="1" applyFill="1"/>
    <xf numFmtId="0" fontId="5" fillId="8" borderId="0" xfId="0" applyFont="1" applyFill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6" fillId="0" borderId="3" xfId="0" applyFont="1" applyBorder="1" applyAlignment="1">
      <alignment horizontal="right" wrapText="1"/>
    </xf>
    <xf numFmtId="0" fontId="6" fillId="0" borderId="4" xfId="0" applyFont="1" applyBorder="1" applyAlignment="1">
      <alignment horizontal="right" wrapText="1"/>
    </xf>
    <xf numFmtId="0" fontId="7" fillId="9" borderId="3" xfId="0" applyFont="1" applyFill="1" applyBorder="1" applyAlignment="1">
      <alignment horizontal="right" wrapText="1"/>
    </xf>
    <xf numFmtId="0" fontId="0" fillId="7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Brand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195140105665411"/>
          <c:y val="0.12820577026126934"/>
          <c:w val="0.59146429512477239"/>
          <c:h val="0.66154177454814977"/>
        </c:manualLayout>
      </c:layout>
      <c:lineChart>
        <c:grouping val="standard"/>
        <c:varyColors val="0"/>
        <c:ser>
          <c:idx val="1"/>
          <c:order val="0"/>
          <c:tx>
            <c:v>Place of Origin</c:v>
          </c:tx>
          <c:spPr>
            <a:ln>
              <a:solidFill>
                <a:srgbClr val="FF0000"/>
              </a:solidFill>
            </a:ln>
          </c:spPr>
          <c:cat>
            <c:strRef>
              <c:f>Hotel_Conjoint!$B$81:$B$83</c:f>
              <c:strCache>
                <c:ptCount val="3"/>
                <c:pt idx="0">
                  <c:v>Hilton</c:v>
                </c:pt>
                <c:pt idx="1">
                  <c:v>Mariott</c:v>
                </c:pt>
                <c:pt idx="2">
                  <c:v>Holiday Inn</c:v>
                </c:pt>
              </c:strCache>
            </c:strRef>
          </c:cat>
          <c:val>
            <c:numRef>
              <c:f>Hotel_Conjoint!$D$81:$D$83</c:f>
              <c:numCache>
                <c:formatCode>0.00</c:formatCode>
                <c:ptCount val="3"/>
                <c:pt idx="0">
                  <c:v>0.69494584837545126</c:v>
                </c:pt>
                <c:pt idx="1">
                  <c:v>0.56137184115523486</c:v>
                </c:pt>
                <c:pt idx="2">
                  <c:v>0.68411552346570392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AE-413F-9576-29A84D835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953136"/>
        <c:axId val="1"/>
      </c:lineChart>
      <c:catAx>
        <c:axId val="75395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.2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3953136"/>
        <c:crosses val="max"/>
        <c:crossBetween val="between"/>
        <c:majorUnit val="5.000000000000001E-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48372703412081"/>
          <c:y val="0.41442980329064577"/>
          <c:w val="0.19124638382402856"/>
          <c:h val="5.825489835829382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95140105665411"/>
          <c:y val="0.12820577026126934"/>
          <c:w val="0.59146429512477239"/>
          <c:h val="0.66154177454814977"/>
        </c:manualLayout>
      </c:layout>
      <c:lineChart>
        <c:grouping val="standard"/>
        <c:varyColors val="0"/>
        <c:ser>
          <c:idx val="1"/>
          <c:order val="0"/>
          <c:cat>
            <c:strRef>
              <c:f>Hotel_Conjoint!$B$89:$B$91</c:f>
              <c:strCache>
                <c:ptCount val="3"/>
                <c:pt idx="0">
                  <c:v>High_Ratings</c:v>
                </c:pt>
                <c:pt idx="1">
                  <c:v>Medium_Ratings</c:v>
                </c:pt>
                <c:pt idx="2">
                  <c:v>Low_Ratings</c:v>
                </c:pt>
              </c:strCache>
            </c:strRef>
          </c:cat>
          <c:val>
            <c:numRef>
              <c:f>Hotel_Conjoint!$D$89:$D$91</c:f>
              <c:numCache>
                <c:formatCode>0.00</c:formatCode>
                <c:ptCount val="3"/>
                <c:pt idx="0">
                  <c:v>0.77617328519855611</c:v>
                </c:pt>
                <c:pt idx="1">
                  <c:v>0.68411552346570392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3F-4F92-B476-16D93E4C0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953136"/>
        <c:axId val="1"/>
      </c:lineChart>
      <c:catAx>
        <c:axId val="75395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3953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Price </a:t>
            </a:r>
          </a:p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195140105665411"/>
          <c:y val="0.12820577026126934"/>
          <c:w val="0.59146429512477239"/>
          <c:h val="0.66154177454814977"/>
        </c:manualLayout>
      </c:layout>
      <c:lineChart>
        <c:grouping val="standard"/>
        <c:varyColors val="0"/>
        <c:ser>
          <c:idx val="1"/>
          <c:order val="0"/>
          <c:tx>
            <c:v>Price of the Vehicle</c:v>
          </c:tx>
          <c:spPr>
            <a:ln>
              <a:solidFill>
                <a:srgbClr val="7030A0"/>
              </a:solidFill>
            </a:ln>
          </c:spPr>
          <c:cat>
            <c:numRef>
              <c:f>Hotel_Conjoint!$B$93:$B$95</c:f>
              <c:numCache>
                <c:formatCode>"$"#,##0_);[Red]\("$"#,##0\)</c:formatCode>
                <c:ptCount val="3"/>
                <c:pt idx="0">
                  <c:v>200</c:v>
                </c:pt>
                <c:pt idx="1">
                  <c:v>300</c:v>
                </c:pt>
                <c:pt idx="2">
                  <c:v>400</c:v>
                </c:pt>
              </c:numCache>
            </c:numRef>
          </c:cat>
          <c:val>
            <c:numRef>
              <c:f>Hotel_Conjoint!$D$93:$D$95</c:f>
              <c:numCache>
                <c:formatCode>0.00</c:formatCode>
                <c:ptCount val="3"/>
                <c:pt idx="0">
                  <c:v>0.68411552346570392</c:v>
                </c:pt>
                <c:pt idx="1">
                  <c:v>0.74909747292418771</c:v>
                </c:pt>
                <c:pt idx="2">
                  <c:v>0.83212996389891691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4-414B-A5E3-A44274400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953136"/>
        <c:axId val="1"/>
      </c:lineChart>
      <c:catAx>
        <c:axId val="753953136"/>
        <c:scaling>
          <c:orientation val="minMax"/>
        </c:scaling>
        <c:delete val="0"/>
        <c:axPos val="b"/>
        <c:numFmt formatCode="&quot;$&quot;#,##0_);[Red]\(&quot;$&quot;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3953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48372703412081"/>
          <c:y val="0.41442980329064577"/>
          <c:w val="0.19124638382402856"/>
          <c:h val="5.825489835829382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# Reviews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342163006816272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195140105665411"/>
          <c:y val="0.12820577026126934"/>
          <c:w val="0.59146429512477239"/>
          <c:h val="0.66154177454814977"/>
        </c:manualLayout>
      </c:layout>
      <c:lineChart>
        <c:grouping val="standard"/>
        <c:varyColors val="0"/>
        <c:ser>
          <c:idx val="1"/>
          <c:order val="0"/>
          <c:cat>
            <c:strRef>
              <c:f>Hotel_Conjoint!$B$85:$B$87</c:f>
              <c:strCache>
                <c:ptCount val="3"/>
                <c:pt idx="0">
                  <c:v>High_#Reviews</c:v>
                </c:pt>
                <c:pt idx="1">
                  <c:v>Medium_#Reviews</c:v>
                </c:pt>
                <c:pt idx="2">
                  <c:v>Low_#Reviews</c:v>
                </c:pt>
              </c:strCache>
            </c:strRef>
          </c:cat>
          <c:val>
            <c:numRef>
              <c:f>Hotel_Conjoint!$D$85:$D$87</c:f>
              <c:numCache>
                <c:formatCode>0.00</c:formatCode>
                <c:ptCount val="3"/>
                <c:pt idx="0">
                  <c:v>0.41696750902527085</c:v>
                </c:pt>
                <c:pt idx="1">
                  <c:v>0.68411552346570392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9-4BD6-ADFF-C9874D28E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953136"/>
        <c:axId val="1"/>
      </c:lineChart>
      <c:catAx>
        <c:axId val="75395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3953136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48372703412081"/>
          <c:y val="0.41442980329064577"/>
          <c:w val="0.19124638382402856"/>
          <c:h val="5.825489835829382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293913</xdr:colOff>
      <xdr:row>77</xdr:row>
      <xdr:rowOff>32658</xdr:rowOff>
    </xdr:from>
    <xdr:to>
      <xdr:col>17</xdr:col>
      <xdr:colOff>326570</xdr:colOff>
      <xdr:row>92</xdr:row>
      <xdr:rowOff>10887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7B9CA0EA-141D-4427-99F4-0CC9BE30E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310242</xdr:colOff>
      <xdr:row>94</xdr:row>
      <xdr:rowOff>59871</xdr:rowOff>
    </xdr:from>
    <xdr:to>
      <xdr:col>17</xdr:col>
      <xdr:colOff>342899</xdr:colOff>
      <xdr:row>109</xdr:row>
      <xdr:rowOff>38100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083D6648-49E2-4D46-8F6F-C5CB6EA5D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348343</xdr:colOff>
      <xdr:row>94</xdr:row>
      <xdr:rowOff>48985</xdr:rowOff>
    </xdr:from>
    <xdr:to>
      <xdr:col>25</xdr:col>
      <xdr:colOff>381000</xdr:colOff>
      <xdr:row>109</xdr:row>
      <xdr:rowOff>27214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F94E412C-2707-4C72-8285-6471399EA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608239</xdr:colOff>
      <xdr:row>103</xdr:row>
      <xdr:rowOff>10887</xdr:rowOff>
    </xdr:from>
    <xdr:to>
      <xdr:col>8</xdr:col>
      <xdr:colOff>457200</xdr:colOff>
      <xdr:row>110</xdr:row>
      <xdr:rowOff>152401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E95A178-64FC-41F2-8627-17FC44F2A104}"/>
            </a:ext>
          </a:extLst>
        </xdr:cNvPr>
        <xdr:cNvSpPr txBox="1"/>
      </xdr:nvSpPr>
      <xdr:spPr>
        <a:xfrm>
          <a:off x="608239" y="20061012"/>
          <a:ext cx="7468961" cy="14750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Inferring Willingness to Pay</a:t>
          </a:r>
        </a:p>
        <a:p>
          <a:endParaRPr lang="en-US" b="1"/>
        </a:p>
        <a:p>
          <a:r>
            <a:rPr lang="en-US"/>
            <a:t>Translating the above into tangible information that can be used to make business decisions?.</a:t>
          </a:r>
        </a:p>
        <a:p>
          <a:endParaRPr lang="en-US"/>
        </a:p>
        <a:p>
          <a:r>
            <a:rPr lang="en-US"/>
            <a:t>When price is one of the attributes, which is often the case, it is possible to translate each partworth from utils to willingness to pay (in $), for each prospective consumer. </a:t>
          </a:r>
        </a:p>
        <a:p>
          <a:endParaRPr lang="en-US"/>
        </a:p>
        <a:p>
          <a:endParaRPr lang="en-US" sz="1100"/>
        </a:p>
      </xdr:txBody>
    </xdr:sp>
    <xdr:clientData/>
  </xdr:twoCellAnchor>
  <xdr:twoCellAnchor>
    <xdr:from>
      <xdr:col>18</xdr:col>
      <xdr:colOff>485775</xdr:colOff>
      <xdr:row>76</xdr:row>
      <xdr:rowOff>161925</xdr:rowOff>
    </xdr:from>
    <xdr:to>
      <xdr:col>25</xdr:col>
      <xdr:colOff>518432</xdr:colOff>
      <xdr:row>91</xdr:row>
      <xdr:rowOff>140154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CF6FFD7E-42FA-4DA7-A12F-1BD82DA2D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85725</xdr:colOff>
      <xdr:row>94</xdr:row>
      <xdr:rowOff>85725</xdr:rowOff>
    </xdr:from>
    <xdr:to>
      <xdr:col>14</xdr:col>
      <xdr:colOff>114300</xdr:colOff>
      <xdr:row>95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3AEE82-DC00-4B28-AA21-752624BB26C4}"/>
            </a:ext>
          </a:extLst>
        </xdr:cNvPr>
        <xdr:cNvSpPr txBox="1"/>
      </xdr:nvSpPr>
      <xdr:spPr>
        <a:xfrm>
          <a:off x="11096625" y="18421350"/>
          <a:ext cx="63817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Ratings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0.50871</cdr:x>
      <cdr:y>0.51553</cdr:y>
    </cdr:from>
    <cdr:to>
      <cdr:x>0.51359</cdr:x>
      <cdr:y>0.60188</cdr:y>
    </cdr:to>
    <cdr:sp macro="" textlink="">
      <cdr:nvSpPr>
        <cdr:cNvPr id="2049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35435" y="934379"/>
          <a:ext cx="18530" cy="156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en-US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0.50871</cdr:x>
      <cdr:y>0.51553</cdr:y>
    </cdr:from>
    <cdr:to>
      <cdr:x>0.51359</cdr:x>
      <cdr:y>0.60188</cdr:y>
    </cdr:to>
    <cdr:sp macro="" textlink="">
      <cdr:nvSpPr>
        <cdr:cNvPr id="2049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35435" y="934379"/>
          <a:ext cx="18530" cy="156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en-US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0.50871</cdr:x>
      <cdr:y>0.51553</cdr:y>
    </cdr:from>
    <cdr:to>
      <cdr:x>0.51359</cdr:x>
      <cdr:y>0.60188</cdr:y>
    </cdr:to>
    <cdr:sp macro="" textlink="">
      <cdr:nvSpPr>
        <cdr:cNvPr id="2049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35435" y="934379"/>
          <a:ext cx="18530" cy="156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en-US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0.50871</cdr:x>
      <cdr:y>0.51553</cdr:y>
    </cdr:from>
    <cdr:to>
      <cdr:x>0.51359</cdr:x>
      <cdr:y>0.60188</cdr:y>
    </cdr:to>
    <cdr:sp macro="" textlink="">
      <cdr:nvSpPr>
        <cdr:cNvPr id="2049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35435" y="934379"/>
          <a:ext cx="18530" cy="156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wrap="none" lIns="18288" tIns="0" rIns="0" bIns="0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77B0-05A7-4E6C-84D6-E5D3C43D5B92}">
  <dimension ref="B2:Q151"/>
  <sheetViews>
    <sheetView tabSelected="1" topLeftCell="A112" workbookViewId="0">
      <selection activeCell="L120" sqref="L120"/>
    </sheetView>
  </sheetViews>
  <sheetFormatPr defaultRowHeight="15" x14ac:dyDescent="0.25"/>
  <cols>
    <col min="2" max="2" width="18.7109375" customWidth="1"/>
    <col min="3" max="3" width="15.7109375" customWidth="1"/>
    <col min="4" max="4" width="15" customWidth="1"/>
    <col min="5" max="5" width="14.42578125" customWidth="1"/>
    <col min="6" max="6" width="13.85546875" customWidth="1"/>
    <col min="7" max="7" width="16.140625" customWidth="1"/>
    <col min="8" max="8" width="13.5703125" customWidth="1"/>
    <col min="9" max="9" width="11.5703125" customWidth="1"/>
    <col min="10" max="10" width="11.85546875" customWidth="1"/>
    <col min="18" max="18" width="12.42578125" customWidth="1"/>
  </cols>
  <sheetData>
    <row r="2" spans="2:14" ht="15.75" x14ac:dyDescent="0.25">
      <c r="B2" s="7" t="s">
        <v>96</v>
      </c>
    </row>
    <row r="6" spans="2:14" x14ac:dyDescent="0.25">
      <c r="L6" t="s">
        <v>34</v>
      </c>
    </row>
    <row r="7" spans="2:14" ht="31.5" x14ac:dyDescent="0.25">
      <c r="B7" s="5" t="s">
        <v>0</v>
      </c>
      <c r="C7" s="1" t="s">
        <v>42</v>
      </c>
      <c r="D7" s="1" t="s">
        <v>59</v>
      </c>
      <c r="E7" s="1" t="s">
        <v>55</v>
      </c>
      <c r="F7" s="1" t="s">
        <v>1</v>
      </c>
      <c r="G7" s="1" t="s">
        <v>97</v>
      </c>
      <c r="L7" t="s">
        <v>34</v>
      </c>
      <c r="M7" t="s">
        <v>34</v>
      </c>
    </row>
    <row r="8" spans="2:14" ht="15" customHeight="1" x14ac:dyDescent="0.25">
      <c r="B8" s="2">
        <v>1</v>
      </c>
      <c r="C8" s="2" t="s">
        <v>43</v>
      </c>
      <c r="D8" s="2" t="s">
        <v>54</v>
      </c>
      <c r="E8" s="2" t="s">
        <v>54</v>
      </c>
      <c r="F8" s="3">
        <v>200</v>
      </c>
      <c r="G8" s="2">
        <v>4</v>
      </c>
      <c r="H8" s="13"/>
    </row>
    <row r="9" spans="2:14" ht="15" customHeight="1" x14ac:dyDescent="0.25">
      <c r="B9" s="2">
        <v>2</v>
      </c>
      <c r="C9" s="2" t="s">
        <v>44</v>
      </c>
      <c r="D9" s="2" t="s">
        <v>51</v>
      </c>
      <c r="E9" s="2" t="s">
        <v>54</v>
      </c>
      <c r="F9" s="3">
        <v>400</v>
      </c>
      <c r="G9" s="2">
        <v>2</v>
      </c>
      <c r="H9" s="13"/>
      <c r="L9" s="4" t="s">
        <v>48</v>
      </c>
    </row>
    <row r="10" spans="2:14" ht="15" customHeight="1" x14ac:dyDescent="0.25">
      <c r="B10" s="2">
        <v>3</v>
      </c>
      <c r="C10" s="2" t="s">
        <v>45</v>
      </c>
      <c r="D10" s="2" t="s">
        <v>51</v>
      </c>
      <c r="E10" s="2" t="s">
        <v>50</v>
      </c>
      <c r="F10" s="3">
        <v>300</v>
      </c>
      <c r="G10" s="2">
        <v>12</v>
      </c>
      <c r="H10" s="13"/>
      <c r="L10" s="13" t="s">
        <v>49</v>
      </c>
      <c r="M10" s="13" t="s">
        <v>52</v>
      </c>
      <c r="N10" s="13" t="s">
        <v>53</v>
      </c>
    </row>
    <row r="11" spans="2:14" ht="15" customHeight="1" x14ac:dyDescent="0.25">
      <c r="B11" s="2">
        <v>4</v>
      </c>
      <c r="C11" s="2" t="s">
        <v>44</v>
      </c>
      <c r="D11" s="2" t="s">
        <v>50</v>
      </c>
      <c r="E11" s="2" t="s">
        <v>51</v>
      </c>
      <c r="F11" s="3">
        <v>300</v>
      </c>
      <c r="G11" s="2">
        <v>11</v>
      </c>
      <c r="H11" s="13"/>
      <c r="L11" t="s">
        <v>50</v>
      </c>
      <c r="M11" t="s">
        <v>51</v>
      </c>
      <c r="N11" t="s">
        <v>54</v>
      </c>
    </row>
    <row r="12" spans="2:14" ht="15" customHeight="1" x14ac:dyDescent="0.25">
      <c r="B12" s="2">
        <v>5</v>
      </c>
      <c r="C12" s="2" t="s">
        <v>43</v>
      </c>
      <c r="D12" s="2" t="s">
        <v>50</v>
      </c>
      <c r="E12" s="2" t="s">
        <v>50</v>
      </c>
      <c r="F12" s="3">
        <v>400</v>
      </c>
      <c r="G12" s="2">
        <v>8</v>
      </c>
      <c r="H12" s="13"/>
    </row>
    <row r="13" spans="2:14" ht="15" customHeight="1" x14ac:dyDescent="0.25">
      <c r="B13" s="2">
        <v>6</v>
      </c>
      <c r="C13" s="2" t="s">
        <v>44</v>
      </c>
      <c r="D13" s="2" t="s">
        <v>54</v>
      </c>
      <c r="E13" s="2" t="s">
        <v>54</v>
      </c>
      <c r="F13" s="3">
        <v>300</v>
      </c>
      <c r="G13" s="2">
        <v>1</v>
      </c>
      <c r="H13" s="13"/>
      <c r="L13" s="4" t="s">
        <v>68</v>
      </c>
    </row>
    <row r="14" spans="2:14" ht="15" customHeight="1" x14ac:dyDescent="0.25">
      <c r="B14" s="2">
        <v>7</v>
      </c>
      <c r="C14" s="2" t="s">
        <v>44</v>
      </c>
      <c r="D14" s="2" t="s">
        <v>54</v>
      </c>
      <c r="E14" s="2" t="s">
        <v>51</v>
      </c>
      <c r="F14" s="3">
        <v>400</v>
      </c>
      <c r="G14" s="2">
        <v>5</v>
      </c>
      <c r="H14" s="13"/>
      <c r="L14" s="13" t="s">
        <v>56</v>
      </c>
      <c r="M14" s="13" t="s">
        <v>57</v>
      </c>
      <c r="N14" s="13" t="s">
        <v>58</v>
      </c>
    </row>
    <row r="15" spans="2:14" ht="15" customHeight="1" x14ac:dyDescent="0.25">
      <c r="B15" s="2">
        <v>8</v>
      </c>
      <c r="C15" s="2" t="s">
        <v>43</v>
      </c>
      <c r="D15" s="2" t="s">
        <v>51</v>
      </c>
      <c r="E15" s="2" t="s">
        <v>51</v>
      </c>
      <c r="F15" s="3">
        <v>200</v>
      </c>
      <c r="G15" s="2">
        <v>15</v>
      </c>
      <c r="H15" s="13"/>
      <c r="L15" t="s">
        <v>50</v>
      </c>
      <c r="M15" t="s">
        <v>51</v>
      </c>
      <c r="N15" t="s">
        <v>54</v>
      </c>
    </row>
    <row r="16" spans="2:14" ht="15" customHeight="1" x14ac:dyDescent="0.25">
      <c r="B16" s="2">
        <v>9</v>
      </c>
      <c r="C16" s="2" t="s">
        <v>45</v>
      </c>
      <c r="D16" s="2" t="s">
        <v>50</v>
      </c>
      <c r="E16" s="2" t="s">
        <v>51</v>
      </c>
      <c r="F16" s="3">
        <v>300</v>
      </c>
      <c r="G16" s="2">
        <v>6</v>
      </c>
      <c r="H16" s="13"/>
    </row>
    <row r="17" spans="2:14" ht="15" customHeight="1" x14ac:dyDescent="0.25">
      <c r="B17" s="2">
        <v>10</v>
      </c>
      <c r="C17" s="2" t="s">
        <v>44</v>
      </c>
      <c r="D17" s="2" t="s">
        <v>54</v>
      </c>
      <c r="E17" s="2" t="s">
        <v>50</v>
      </c>
      <c r="F17" s="3">
        <v>200</v>
      </c>
      <c r="G17" s="2">
        <v>14</v>
      </c>
      <c r="H17" s="13"/>
    </row>
    <row r="18" spans="2:14" ht="15" customHeight="1" x14ac:dyDescent="0.25">
      <c r="B18" s="2">
        <v>11</v>
      </c>
      <c r="C18" s="2" t="s">
        <v>43</v>
      </c>
      <c r="D18" s="2" t="s">
        <v>50</v>
      </c>
      <c r="E18" s="2" t="s">
        <v>54</v>
      </c>
      <c r="F18" s="3">
        <v>300</v>
      </c>
      <c r="G18" s="2">
        <v>7</v>
      </c>
      <c r="H18" s="13"/>
    </row>
    <row r="19" spans="2:14" ht="15" customHeight="1" x14ac:dyDescent="0.25">
      <c r="B19" s="2">
        <v>12</v>
      </c>
      <c r="C19" s="2" t="s">
        <v>45</v>
      </c>
      <c r="D19" s="2" t="s">
        <v>50</v>
      </c>
      <c r="E19" s="2" t="s">
        <v>54</v>
      </c>
      <c r="F19" s="3">
        <v>400</v>
      </c>
      <c r="G19" s="2">
        <v>3</v>
      </c>
      <c r="H19" s="13"/>
    </row>
    <row r="20" spans="2:14" ht="15" customHeight="1" x14ac:dyDescent="0.25">
      <c r="B20" s="2">
        <v>13</v>
      </c>
      <c r="C20" s="2" t="s">
        <v>44</v>
      </c>
      <c r="D20" s="2" t="s">
        <v>51</v>
      </c>
      <c r="E20" s="2" t="s">
        <v>50</v>
      </c>
      <c r="F20" s="3">
        <v>300</v>
      </c>
      <c r="G20" s="2">
        <v>10</v>
      </c>
      <c r="H20" s="13"/>
    </row>
    <row r="21" spans="2:14" ht="15" customHeight="1" x14ac:dyDescent="0.25">
      <c r="B21" s="2">
        <v>14</v>
      </c>
      <c r="C21" s="2" t="s">
        <v>45</v>
      </c>
      <c r="D21" s="2" t="s">
        <v>54</v>
      </c>
      <c r="E21" s="2" t="s">
        <v>50</v>
      </c>
      <c r="F21" s="3">
        <v>200</v>
      </c>
      <c r="G21" s="2">
        <v>13</v>
      </c>
      <c r="H21" s="13"/>
    </row>
    <row r="22" spans="2:14" ht="15" customHeight="1" x14ac:dyDescent="0.25">
      <c r="B22" s="2">
        <v>15</v>
      </c>
      <c r="C22" s="2" t="s">
        <v>44</v>
      </c>
      <c r="D22" s="2" t="s">
        <v>51</v>
      </c>
      <c r="E22" s="2" t="s">
        <v>51</v>
      </c>
      <c r="F22" s="3">
        <v>300</v>
      </c>
      <c r="G22" s="2">
        <v>9</v>
      </c>
      <c r="H22" s="13"/>
    </row>
    <row r="27" spans="2:14" x14ac:dyDescent="0.25">
      <c r="B27" s="4" t="s">
        <v>2</v>
      </c>
    </row>
    <row r="29" spans="2:14" ht="15.75" x14ac:dyDescent="0.25">
      <c r="B29" s="5" t="s">
        <v>0</v>
      </c>
      <c r="C29" s="31" t="s">
        <v>46</v>
      </c>
      <c r="D29" s="31" t="s">
        <v>47</v>
      </c>
      <c r="E29" s="31" t="s">
        <v>60</v>
      </c>
      <c r="F29" s="31" t="s">
        <v>62</v>
      </c>
      <c r="G29" s="31" t="s">
        <v>61</v>
      </c>
      <c r="H29" s="31" t="s">
        <v>63</v>
      </c>
      <c r="I29" s="31" t="s">
        <v>98</v>
      </c>
      <c r="J29" s="31" t="s">
        <v>64</v>
      </c>
      <c r="L29" s="31" t="s">
        <v>3</v>
      </c>
      <c r="N29" s="6" t="s">
        <v>34</v>
      </c>
    </row>
    <row r="30" spans="2:14" ht="15.75" x14ac:dyDescent="0.25">
      <c r="B30" s="2">
        <v>1</v>
      </c>
      <c r="C30" s="13">
        <f>IF(C8="Hilton",1,0)</f>
        <v>1</v>
      </c>
      <c r="D30" s="13">
        <f>IF(C8="Mariott",1,0)</f>
        <v>0</v>
      </c>
      <c r="E30" s="13">
        <f>IF(D8="High", 1,0)</f>
        <v>0</v>
      </c>
      <c r="F30" s="13">
        <f>IF(D8="Low",1,0)</f>
        <v>1</v>
      </c>
      <c r="G30" s="13">
        <f>IF(E8="High",1,0)</f>
        <v>0</v>
      </c>
      <c r="H30" s="13">
        <f>IF(E8="Low",1,0)</f>
        <v>1</v>
      </c>
      <c r="I30" s="13">
        <f>IF(F8=300,1,0)</f>
        <v>0</v>
      </c>
      <c r="J30" s="13">
        <f>IF(F8=400,1,0)</f>
        <v>0</v>
      </c>
      <c r="L30" s="32">
        <v>4</v>
      </c>
      <c r="N30" t="s">
        <v>34</v>
      </c>
    </row>
    <row r="31" spans="2:14" ht="15.75" x14ac:dyDescent="0.25">
      <c r="B31" s="2">
        <v>2</v>
      </c>
      <c r="C31" s="13">
        <f t="shared" ref="C31:C44" si="0">IF(C9="Hilton",1,0)</f>
        <v>0</v>
      </c>
      <c r="D31" s="13">
        <f t="shared" ref="D31:D44" si="1">IF(C9="Mariott",1,0)</f>
        <v>1</v>
      </c>
      <c r="E31" s="13">
        <f t="shared" ref="E31:E44" si="2">IF(D9="High", 1,0)</f>
        <v>0</v>
      </c>
      <c r="F31" s="13">
        <f t="shared" ref="F31:F44" si="3">IF(D9="Low",1,0)</f>
        <v>0</v>
      </c>
      <c r="G31" s="13">
        <f t="shared" ref="G31:G44" si="4">IF(E9="High",1,0)</f>
        <v>0</v>
      </c>
      <c r="H31" s="13">
        <f t="shared" ref="H31:H44" si="5">IF(E9="Low",1,0)</f>
        <v>1</v>
      </c>
      <c r="I31" s="13">
        <f t="shared" ref="I31:I44" si="6">IF(F9=300,1,0)</f>
        <v>0</v>
      </c>
      <c r="J31" s="13">
        <f t="shared" ref="J31:J44" si="7">IF(F9=400,1,0)</f>
        <v>1</v>
      </c>
      <c r="L31" s="32">
        <v>2</v>
      </c>
      <c r="N31" t="s">
        <v>34</v>
      </c>
    </row>
    <row r="32" spans="2:14" ht="15.75" x14ac:dyDescent="0.25">
      <c r="B32" s="2">
        <v>3</v>
      </c>
      <c r="C32" s="13">
        <f t="shared" si="0"/>
        <v>0</v>
      </c>
      <c r="D32" s="13">
        <f t="shared" si="1"/>
        <v>0</v>
      </c>
      <c r="E32" s="13">
        <f t="shared" si="2"/>
        <v>0</v>
      </c>
      <c r="F32" s="13">
        <f t="shared" si="3"/>
        <v>0</v>
      </c>
      <c r="G32" s="13">
        <f t="shared" si="4"/>
        <v>1</v>
      </c>
      <c r="H32" s="13">
        <f t="shared" si="5"/>
        <v>0</v>
      </c>
      <c r="I32" s="13">
        <f t="shared" si="6"/>
        <v>1</v>
      </c>
      <c r="J32" s="13">
        <f t="shared" si="7"/>
        <v>0</v>
      </c>
      <c r="L32" s="32">
        <v>12</v>
      </c>
      <c r="N32" t="s">
        <v>34</v>
      </c>
    </row>
    <row r="33" spans="2:12" ht="15.75" x14ac:dyDescent="0.25">
      <c r="B33" s="2">
        <v>4</v>
      </c>
      <c r="C33" s="13">
        <f t="shared" si="0"/>
        <v>0</v>
      </c>
      <c r="D33" s="13">
        <f t="shared" si="1"/>
        <v>1</v>
      </c>
      <c r="E33" s="13">
        <f t="shared" si="2"/>
        <v>1</v>
      </c>
      <c r="F33" s="13">
        <f t="shared" si="3"/>
        <v>0</v>
      </c>
      <c r="G33" s="13">
        <f t="shared" si="4"/>
        <v>0</v>
      </c>
      <c r="H33" s="13">
        <f t="shared" si="5"/>
        <v>0</v>
      </c>
      <c r="I33" s="13">
        <f t="shared" si="6"/>
        <v>1</v>
      </c>
      <c r="J33" s="13">
        <f t="shared" si="7"/>
        <v>0</v>
      </c>
      <c r="L33" s="32">
        <v>11</v>
      </c>
    </row>
    <row r="34" spans="2:12" ht="15.75" x14ac:dyDescent="0.25">
      <c r="B34" s="2">
        <v>5</v>
      </c>
      <c r="C34" s="13">
        <f t="shared" si="0"/>
        <v>1</v>
      </c>
      <c r="D34" s="13">
        <f t="shared" si="1"/>
        <v>0</v>
      </c>
      <c r="E34" s="13">
        <f t="shared" si="2"/>
        <v>1</v>
      </c>
      <c r="F34" s="13">
        <f t="shared" si="3"/>
        <v>0</v>
      </c>
      <c r="G34" s="13">
        <f t="shared" si="4"/>
        <v>1</v>
      </c>
      <c r="H34" s="13">
        <f t="shared" si="5"/>
        <v>0</v>
      </c>
      <c r="I34" s="13">
        <f t="shared" si="6"/>
        <v>0</v>
      </c>
      <c r="J34" s="13">
        <f t="shared" si="7"/>
        <v>1</v>
      </c>
      <c r="L34" s="32">
        <v>8</v>
      </c>
    </row>
    <row r="35" spans="2:12" ht="15.75" x14ac:dyDescent="0.25">
      <c r="B35" s="2">
        <v>6</v>
      </c>
      <c r="C35" s="13">
        <f t="shared" si="0"/>
        <v>0</v>
      </c>
      <c r="D35" s="13">
        <f t="shared" si="1"/>
        <v>1</v>
      </c>
      <c r="E35" s="13">
        <f t="shared" si="2"/>
        <v>0</v>
      </c>
      <c r="F35" s="13">
        <f t="shared" si="3"/>
        <v>1</v>
      </c>
      <c r="G35" s="13">
        <f t="shared" si="4"/>
        <v>0</v>
      </c>
      <c r="H35" s="13">
        <f t="shared" si="5"/>
        <v>1</v>
      </c>
      <c r="I35" s="13">
        <f t="shared" si="6"/>
        <v>1</v>
      </c>
      <c r="J35" s="13">
        <f t="shared" si="7"/>
        <v>0</v>
      </c>
      <c r="L35" s="32">
        <v>1</v>
      </c>
    </row>
    <row r="36" spans="2:12" ht="15.75" x14ac:dyDescent="0.25">
      <c r="B36" s="2">
        <v>7</v>
      </c>
      <c r="C36" s="13">
        <f t="shared" si="0"/>
        <v>0</v>
      </c>
      <c r="D36" s="13">
        <f t="shared" si="1"/>
        <v>1</v>
      </c>
      <c r="E36" s="13">
        <f t="shared" si="2"/>
        <v>0</v>
      </c>
      <c r="F36" s="13">
        <f t="shared" si="3"/>
        <v>1</v>
      </c>
      <c r="G36" s="13">
        <f t="shared" si="4"/>
        <v>0</v>
      </c>
      <c r="H36" s="13">
        <f t="shared" si="5"/>
        <v>0</v>
      </c>
      <c r="I36" s="13">
        <f t="shared" si="6"/>
        <v>0</v>
      </c>
      <c r="J36" s="13">
        <f t="shared" si="7"/>
        <v>1</v>
      </c>
      <c r="L36" s="32">
        <v>5</v>
      </c>
    </row>
    <row r="37" spans="2:12" ht="15.75" x14ac:dyDescent="0.25">
      <c r="B37" s="2">
        <v>8</v>
      </c>
      <c r="C37" s="13">
        <f t="shared" si="0"/>
        <v>1</v>
      </c>
      <c r="D37" s="13">
        <f t="shared" si="1"/>
        <v>0</v>
      </c>
      <c r="E37" s="13">
        <f t="shared" si="2"/>
        <v>0</v>
      </c>
      <c r="F37" s="13">
        <f t="shared" si="3"/>
        <v>0</v>
      </c>
      <c r="G37" s="13">
        <f t="shared" si="4"/>
        <v>0</v>
      </c>
      <c r="H37" s="13">
        <f t="shared" si="5"/>
        <v>0</v>
      </c>
      <c r="I37" s="13">
        <f t="shared" si="6"/>
        <v>0</v>
      </c>
      <c r="J37" s="13">
        <f t="shared" si="7"/>
        <v>0</v>
      </c>
      <c r="L37" s="32">
        <v>15</v>
      </c>
    </row>
    <row r="38" spans="2:12" ht="15.75" x14ac:dyDescent="0.25">
      <c r="B38" s="2">
        <v>9</v>
      </c>
      <c r="C38" s="13">
        <f t="shared" si="0"/>
        <v>0</v>
      </c>
      <c r="D38" s="13">
        <f t="shared" si="1"/>
        <v>0</v>
      </c>
      <c r="E38" s="13">
        <f t="shared" si="2"/>
        <v>1</v>
      </c>
      <c r="F38" s="13">
        <f t="shared" si="3"/>
        <v>0</v>
      </c>
      <c r="G38" s="13">
        <f t="shared" si="4"/>
        <v>0</v>
      </c>
      <c r="H38" s="13">
        <f t="shared" si="5"/>
        <v>0</v>
      </c>
      <c r="I38" s="13">
        <f t="shared" si="6"/>
        <v>1</v>
      </c>
      <c r="J38" s="13">
        <f t="shared" si="7"/>
        <v>0</v>
      </c>
      <c r="L38" s="32">
        <v>6</v>
      </c>
    </row>
    <row r="39" spans="2:12" ht="15.75" x14ac:dyDescent="0.25">
      <c r="B39" s="2">
        <v>10</v>
      </c>
      <c r="C39" s="13">
        <f t="shared" si="0"/>
        <v>0</v>
      </c>
      <c r="D39" s="13">
        <f t="shared" si="1"/>
        <v>1</v>
      </c>
      <c r="E39" s="13">
        <f t="shared" si="2"/>
        <v>0</v>
      </c>
      <c r="F39" s="13">
        <f t="shared" si="3"/>
        <v>1</v>
      </c>
      <c r="G39" s="13">
        <f t="shared" si="4"/>
        <v>1</v>
      </c>
      <c r="H39" s="13">
        <f t="shared" si="5"/>
        <v>0</v>
      </c>
      <c r="I39" s="13">
        <f t="shared" si="6"/>
        <v>0</v>
      </c>
      <c r="J39" s="13">
        <f t="shared" si="7"/>
        <v>0</v>
      </c>
      <c r="L39" s="32">
        <v>14</v>
      </c>
    </row>
    <row r="40" spans="2:12" ht="15.75" x14ac:dyDescent="0.25">
      <c r="B40" s="2">
        <v>11</v>
      </c>
      <c r="C40" s="13">
        <f t="shared" si="0"/>
        <v>1</v>
      </c>
      <c r="D40" s="13">
        <f t="shared" si="1"/>
        <v>0</v>
      </c>
      <c r="E40" s="13">
        <f t="shared" si="2"/>
        <v>1</v>
      </c>
      <c r="F40" s="13">
        <f t="shared" si="3"/>
        <v>0</v>
      </c>
      <c r="G40" s="13">
        <f t="shared" si="4"/>
        <v>0</v>
      </c>
      <c r="H40" s="13">
        <f t="shared" si="5"/>
        <v>1</v>
      </c>
      <c r="I40" s="13">
        <f t="shared" si="6"/>
        <v>1</v>
      </c>
      <c r="J40" s="13">
        <f t="shared" si="7"/>
        <v>0</v>
      </c>
      <c r="L40" s="32">
        <v>7</v>
      </c>
    </row>
    <row r="41" spans="2:12" ht="15.75" x14ac:dyDescent="0.25">
      <c r="B41" s="2">
        <v>12</v>
      </c>
      <c r="C41" s="13">
        <f t="shared" si="0"/>
        <v>0</v>
      </c>
      <c r="D41" s="13">
        <f t="shared" si="1"/>
        <v>0</v>
      </c>
      <c r="E41" s="13">
        <f t="shared" si="2"/>
        <v>1</v>
      </c>
      <c r="F41" s="13">
        <f t="shared" si="3"/>
        <v>0</v>
      </c>
      <c r="G41" s="13">
        <f t="shared" si="4"/>
        <v>0</v>
      </c>
      <c r="H41" s="13">
        <f t="shared" si="5"/>
        <v>1</v>
      </c>
      <c r="I41" s="13">
        <f t="shared" si="6"/>
        <v>0</v>
      </c>
      <c r="J41" s="13">
        <f t="shared" si="7"/>
        <v>1</v>
      </c>
      <c r="L41" s="32">
        <v>3</v>
      </c>
    </row>
    <row r="42" spans="2:12" ht="15.75" x14ac:dyDescent="0.25">
      <c r="B42" s="2">
        <v>13</v>
      </c>
      <c r="C42" s="13">
        <f t="shared" si="0"/>
        <v>0</v>
      </c>
      <c r="D42" s="13">
        <f t="shared" si="1"/>
        <v>1</v>
      </c>
      <c r="E42" s="13">
        <f t="shared" si="2"/>
        <v>0</v>
      </c>
      <c r="F42" s="13">
        <f t="shared" si="3"/>
        <v>0</v>
      </c>
      <c r="G42" s="13">
        <f t="shared" si="4"/>
        <v>1</v>
      </c>
      <c r="H42" s="13">
        <f t="shared" si="5"/>
        <v>0</v>
      </c>
      <c r="I42" s="13">
        <f t="shared" si="6"/>
        <v>1</v>
      </c>
      <c r="J42" s="13">
        <f t="shared" si="7"/>
        <v>0</v>
      </c>
      <c r="L42" s="32">
        <v>10</v>
      </c>
    </row>
    <row r="43" spans="2:12" ht="15.75" x14ac:dyDescent="0.25">
      <c r="B43" s="2">
        <v>14</v>
      </c>
      <c r="C43" s="13">
        <f t="shared" si="0"/>
        <v>0</v>
      </c>
      <c r="D43" s="13">
        <f t="shared" si="1"/>
        <v>0</v>
      </c>
      <c r="E43" s="13">
        <f t="shared" si="2"/>
        <v>0</v>
      </c>
      <c r="F43" s="13">
        <f t="shared" si="3"/>
        <v>1</v>
      </c>
      <c r="G43" s="13">
        <f t="shared" si="4"/>
        <v>1</v>
      </c>
      <c r="H43" s="13">
        <f t="shared" si="5"/>
        <v>0</v>
      </c>
      <c r="I43" s="13">
        <f t="shared" si="6"/>
        <v>0</v>
      </c>
      <c r="J43" s="13">
        <f t="shared" si="7"/>
        <v>0</v>
      </c>
      <c r="L43" s="32">
        <v>13</v>
      </c>
    </row>
    <row r="44" spans="2:12" ht="15.75" x14ac:dyDescent="0.25">
      <c r="B44" s="2">
        <v>15</v>
      </c>
      <c r="C44" s="13">
        <f t="shared" si="0"/>
        <v>0</v>
      </c>
      <c r="D44" s="13">
        <f t="shared" si="1"/>
        <v>1</v>
      </c>
      <c r="E44" s="13">
        <f t="shared" si="2"/>
        <v>0</v>
      </c>
      <c r="F44" s="13">
        <f t="shared" si="3"/>
        <v>0</v>
      </c>
      <c r="G44" s="13">
        <f t="shared" si="4"/>
        <v>0</v>
      </c>
      <c r="H44" s="13">
        <f t="shared" si="5"/>
        <v>0</v>
      </c>
      <c r="I44" s="13">
        <f t="shared" si="6"/>
        <v>1</v>
      </c>
      <c r="J44" s="13">
        <f t="shared" si="7"/>
        <v>0</v>
      </c>
      <c r="L44" s="32">
        <v>9</v>
      </c>
    </row>
    <row r="48" spans="2:12" x14ac:dyDescent="0.25">
      <c r="B48" t="s">
        <v>4</v>
      </c>
    </row>
    <row r="49" spans="2:10" ht="15.75" thickBot="1" x14ac:dyDescent="0.3"/>
    <row r="50" spans="2:10" x14ac:dyDescent="0.25">
      <c r="B50" s="44" t="s">
        <v>5</v>
      </c>
      <c r="C50" s="44"/>
    </row>
    <row r="51" spans="2:10" x14ac:dyDescent="0.25">
      <c r="B51" s="41" t="s">
        <v>6</v>
      </c>
      <c r="C51" s="41">
        <v>0.92947361404917272</v>
      </c>
    </row>
    <row r="52" spans="2:10" x14ac:dyDescent="0.25">
      <c r="B52" s="41" t="s">
        <v>7</v>
      </c>
      <c r="C52" s="41">
        <v>0.86392119921363042</v>
      </c>
    </row>
    <row r="53" spans="2:10" x14ac:dyDescent="0.25">
      <c r="B53" s="41" t="s">
        <v>8</v>
      </c>
      <c r="C53" s="41">
        <v>0.68248279816513779</v>
      </c>
    </row>
    <row r="54" spans="2:10" x14ac:dyDescent="0.25">
      <c r="B54" s="41" t="s">
        <v>9</v>
      </c>
      <c r="C54" s="41">
        <v>1.9888079703322652</v>
      </c>
    </row>
    <row r="55" spans="2:10" ht="15.75" thickBot="1" x14ac:dyDescent="0.3">
      <c r="B55" s="42" t="s">
        <v>10</v>
      </c>
      <c r="C55" s="42">
        <v>15</v>
      </c>
    </row>
    <row r="57" spans="2:10" ht="15.75" thickBot="1" x14ac:dyDescent="0.3">
      <c r="B57" t="s">
        <v>11</v>
      </c>
    </row>
    <row r="58" spans="2:10" x14ac:dyDescent="0.25">
      <c r="B58" s="43"/>
      <c r="C58" s="43" t="s">
        <v>16</v>
      </c>
      <c r="D58" s="43" t="s">
        <v>17</v>
      </c>
      <c r="E58" s="43" t="s">
        <v>18</v>
      </c>
      <c r="F58" s="43" t="s">
        <v>19</v>
      </c>
      <c r="G58" s="43" t="s">
        <v>20</v>
      </c>
    </row>
    <row r="59" spans="2:10" x14ac:dyDescent="0.25">
      <c r="B59" s="41" t="s">
        <v>12</v>
      </c>
      <c r="C59" s="41">
        <v>8</v>
      </c>
      <c r="D59" s="41">
        <v>150.66785714285714</v>
      </c>
      <c r="E59" s="41">
        <v>18.833482142857143</v>
      </c>
      <c r="F59" s="41">
        <v>4.7615124153498849</v>
      </c>
      <c r="G59" s="41">
        <v>3.6582613350378199E-2</v>
      </c>
    </row>
    <row r="60" spans="2:10" x14ac:dyDescent="0.25">
      <c r="B60" s="41" t="s">
        <v>13</v>
      </c>
      <c r="C60" s="41">
        <v>6</v>
      </c>
      <c r="D60" s="41">
        <v>23.732142857142868</v>
      </c>
      <c r="E60" s="41">
        <v>3.9553571428571446</v>
      </c>
      <c r="F60" s="41"/>
      <c r="G60" s="41"/>
    </row>
    <row r="61" spans="2:10" ht="15.75" thickBot="1" x14ac:dyDescent="0.3">
      <c r="B61" s="42" t="s">
        <v>14</v>
      </c>
      <c r="C61" s="42">
        <v>14</v>
      </c>
      <c r="D61" s="42">
        <v>174.4</v>
      </c>
      <c r="E61" s="42"/>
      <c r="F61" s="42"/>
      <c r="G61" s="42"/>
    </row>
    <row r="62" spans="2:10" ht="15.75" thickBot="1" x14ac:dyDescent="0.3"/>
    <row r="63" spans="2:10" x14ac:dyDescent="0.25">
      <c r="B63" s="43"/>
      <c r="C63" s="43" t="s">
        <v>21</v>
      </c>
      <c r="D63" s="43" t="s">
        <v>9</v>
      </c>
      <c r="E63" s="43" t="s">
        <v>22</v>
      </c>
      <c r="F63" s="43" t="s">
        <v>23</v>
      </c>
      <c r="G63" s="43" t="s">
        <v>24</v>
      </c>
      <c r="H63" s="43" t="s">
        <v>25</v>
      </c>
      <c r="I63" s="43" t="s">
        <v>26</v>
      </c>
      <c r="J63" s="43" t="s">
        <v>27</v>
      </c>
    </row>
    <row r="64" spans="2:10" x14ac:dyDescent="0.25">
      <c r="B64" s="41" t="s">
        <v>15</v>
      </c>
      <c r="C64" s="41">
        <v>8.83928571428571</v>
      </c>
      <c r="D64" s="41">
        <v>2.0144710700385513</v>
      </c>
      <c r="E64" s="41">
        <v>4.3878940957521673</v>
      </c>
      <c r="F64" s="41">
        <v>4.628507884600226E-3</v>
      </c>
      <c r="G64" s="41">
        <v>3.9100525792196903</v>
      </c>
      <c r="H64" s="41">
        <v>13.768518849351729</v>
      </c>
      <c r="I64" s="41">
        <v>3.9100525792196903</v>
      </c>
      <c r="J64" s="41">
        <v>13.768518849351729</v>
      </c>
    </row>
    <row r="65" spans="2:10" x14ac:dyDescent="0.25">
      <c r="B65" s="41" t="s">
        <v>46</v>
      </c>
      <c r="C65" s="41">
        <v>0.10714285714285782</v>
      </c>
      <c r="D65" s="41">
        <v>1.5517370495858873</v>
      </c>
      <c r="E65" s="41">
        <v>6.904704451791692E-2</v>
      </c>
      <c r="F65" s="41">
        <v>0.94719580949237248</v>
      </c>
      <c r="G65" s="41">
        <v>-3.6898209193495797</v>
      </c>
      <c r="H65" s="41">
        <v>3.904106633635295</v>
      </c>
      <c r="I65" s="41">
        <v>-3.6898209193495797</v>
      </c>
      <c r="J65" s="41">
        <v>3.904106633635295</v>
      </c>
    </row>
    <row r="66" spans="2:10" x14ac:dyDescent="0.25">
      <c r="B66" s="41" t="s">
        <v>47</v>
      </c>
      <c r="C66" s="41">
        <v>-1.2142857142857122</v>
      </c>
      <c r="D66" s="41">
        <v>1.4833322041784847</v>
      </c>
      <c r="E66" s="41">
        <v>-0.81862020582113715</v>
      </c>
      <c r="F66" s="41">
        <v>0.44429235642354969</v>
      </c>
      <c r="G66" s="41">
        <v>-4.843868863875036</v>
      </c>
      <c r="H66" s="41">
        <v>2.4152974353036116</v>
      </c>
      <c r="I66" s="41">
        <v>-4.843868863875036</v>
      </c>
      <c r="J66" s="41">
        <v>2.4152974353036116</v>
      </c>
    </row>
    <row r="67" spans="2:10" x14ac:dyDescent="0.25">
      <c r="B67" s="41" t="s">
        <v>60</v>
      </c>
      <c r="C67" s="41">
        <v>-2.6428571428571415</v>
      </c>
      <c r="D67" s="41">
        <v>1.5175674538939354</v>
      </c>
      <c r="E67" s="41">
        <v>-1.7415088443520705</v>
      </c>
      <c r="F67" s="41">
        <v>0.13223422556441342</v>
      </c>
      <c r="G67" s="41">
        <v>-6.35621093070211</v>
      </c>
      <c r="H67" s="41">
        <v>1.0704966449878266</v>
      </c>
      <c r="I67" s="41">
        <v>-6.35621093070211</v>
      </c>
      <c r="J67" s="41">
        <v>1.0704966449878266</v>
      </c>
    </row>
    <row r="68" spans="2:10" x14ac:dyDescent="0.25">
      <c r="B68" s="41" t="s">
        <v>62</v>
      </c>
      <c r="C68" s="41">
        <v>-6.7678571428571423</v>
      </c>
      <c r="D68" s="41">
        <v>1.5371859454203241</v>
      </c>
      <c r="E68" s="41">
        <v>-4.4027576254000662</v>
      </c>
      <c r="F68" s="41">
        <v>4.5547977541549349E-3</v>
      </c>
      <c r="G68" s="41">
        <v>-10.529215650119617</v>
      </c>
      <c r="H68" s="41">
        <v>-3.0064986355946668</v>
      </c>
      <c r="I68" s="41">
        <v>-10.529215650119617</v>
      </c>
      <c r="J68" s="41">
        <v>-3.0064986355946668</v>
      </c>
    </row>
    <row r="69" spans="2:10" x14ac:dyDescent="0.25">
      <c r="B69" s="41" t="s">
        <v>61</v>
      </c>
      <c r="C69" s="41">
        <v>0.91071428571428703</v>
      </c>
      <c r="D69" s="41">
        <v>1.3400556949676896</v>
      </c>
      <c r="E69" s="41">
        <v>0.67960927977418539</v>
      </c>
      <c r="F69" s="41">
        <v>0.52209290735151437</v>
      </c>
      <c r="G69" s="41">
        <v>-2.3682838754964615</v>
      </c>
      <c r="H69" s="41">
        <v>4.1897124469250357</v>
      </c>
      <c r="I69" s="41">
        <v>-2.3682838754964615</v>
      </c>
      <c r="J69" s="41">
        <v>4.1897124469250357</v>
      </c>
    </row>
    <row r="70" spans="2:10" x14ac:dyDescent="0.25">
      <c r="B70" s="41" t="s">
        <v>63</v>
      </c>
      <c r="C70" s="41">
        <v>3.1250000000000009</v>
      </c>
      <c r="D70" s="41">
        <v>1.3848281184857993</v>
      </c>
      <c r="E70" s="41">
        <v>2.2565977382210742</v>
      </c>
      <c r="F70" s="41">
        <v>6.4850559273049266E-2</v>
      </c>
      <c r="G70" s="41">
        <v>-0.26355233492169194</v>
      </c>
      <c r="H70" s="41">
        <v>6.5135523349216937</v>
      </c>
      <c r="I70" s="41">
        <v>-0.26355233492169194</v>
      </c>
      <c r="J70" s="41">
        <v>6.5135523349216937</v>
      </c>
    </row>
    <row r="71" spans="2:10" x14ac:dyDescent="0.25">
      <c r="B71" s="41" t="s">
        <v>98</v>
      </c>
      <c r="C71" s="41">
        <v>0.64285714285714313</v>
      </c>
      <c r="D71" s="41">
        <v>1.9458339871863564</v>
      </c>
      <c r="E71" s="41">
        <v>0.33037615083838878</v>
      </c>
      <c r="F71" s="41">
        <v>0.7523468929999606</v>
      </c>
      <c r="G71" s="41">
        <v>-4.1184271007498214</v>
      </c>
      <c r="H71" s="41">
        <v>5.4041413864641079</v>
      </c>
      <c r="I71" s="41">
        <v>-4.1184271007498214</v>
      </c>
      <c r="J71" s="41">
        <v>5.4041413864641079</v>
      </c>
    </row>
    <row r="72" spans="2:10" ht="15.75" thickBot="1" x14ac:dyDescent="0.3">
      <c r="B72" s="42" t="s">
        <v>64</v>
      </c>
      <c r="C72" s="42">
        <v>1.4642857142857137</v>
      </c>
      <c r="D72" s="42">
        <v>1.9995409569055125</v>
      </c>
      <c r="E72" s="42">
        <v>0.73231093828247495</v>
      </c>
      <c r="F72" s="42">
        <v>0.49158272909040612</v>
      </c>
      <c r="G72" s="42">
        <v>-3.4284147500161382</v>
      </c>
      <c r="H72" s="42">
        <v>6.3569861785875652</v>
      </c>
      <c r="I72" s="42">
        <v>-3.4284147500161382</v>
      </c>
      <c r="J72" s="42">
        <v>6.3569861785875652</v>
      </c>
    </row>
    <row r="78" spans="2:10" x14ac:dyDescent="0.25">
      <c r="B78" s="8" t="s">
        <v>28</v>
      </c>
      <c r="C78" s="8"/>
      <c r="D78" s="8"/>
      <c r="E78" s="8"/>
      <c r="F78" s="8"/>
      <c r="G78" s="8"/>
      <c r="H78" s="8"/>
      <c r="I78" s="8"/>
      <c r="J78" s="8"/>
    </row>
    <row r="79" spans="2:10" x14ac:dyDescent="0.25">
      <c r="B79" s="8"/>
      <c r="C79" s="8"/>
      <c r="D79" s="8"/>
      <c r="E79" s="8"/>
      <c r="F79" s="8"/>
      <c r="G79" s="8"/>
      <c r="H79" s="8"/>
      <c r="I79" s="8"/>
      <c r="J79" s="8"/>
    </row>
    <row r="80" spans="2:10" x14ac:dyDescent="0.25">
      <c r="B80" s="17" t="s">
        <v>29</v>
      </c>
      <c r="C80" s="18" t="s">
        <v>30</v>
      </c>
      <c r="D80" s="18" t="s">
        <v>31</v>
      </c>
      <c r="E80" s="17"/>
      <c r="F80" s="17" t="s">
        <v>32</v>
      </c>
      <c r="G80" s="17"/>
      <c r="H80" s="17" t="s">
        <v>34</v>
      </c>
      <c r="I80" s="17" t="s">
        <v>33</v>
      </c>
      <c r="J80" s="17"/>
    </row>
    <row r="81" spans="2:10" x14ac:dyDescent="0.25">
      <c r="B81" s="8" t="s">
        <v>43</v>
      </c>
      <c r="C81" s="33">
        <f>C65</f>
        <v>0.10714285714285782</v>
      </c>
      <c r="D81" s="36">
        <f>(C81-C$98)/(C$97-C$98)</f>
        <v>0.69494584837545126</v>
      </c>
      <c r="E81" s="10"/>
      <c r="F81" s="10"/>
      <c r="G81" s="10"/>
      <c r="H81" s="10"/>
      <c r="I81" s="10"/>
      <c r="J81" s="10"/>
    </row>
    <row r="82" spans="2:10" x14ac:dyDescent="0.25">
      <c r="B82" s="8" t="s">
        <v>44</v>
      </c>
      <c r="C82" s="33">
        <f>C66</f>
        <v>-1.2142857142857122</v>
      </c>
      <c r="D82" s="36">
        <f t="shared" ref="D82:D93" si="8">(C82-C$98)/(C$97-C$98)</f>
        <v>0.56137184115523486</v>
      </c>
      <c r="E82" s="10"/>
      <c r="F82" s="36">
        <f>MAX(D81:D83)-MIN(D81:D83)</f>
        <v>0.1335740072202164</v>
      </c>
      <c r="G82" s="10"/>
      <c r="H82" s="10"/>
      <c r="I82" s="38">
        <f>F82/$F$99</f>
        <v>0.10422535211267593</v>
      </c>
      <c r="J82" s="10"/>
    </row>
    <row r="83" spans="2:10" x14ac:dyDescent="0.25">
      <c r="B83" s="8" t="s">
        <v>45</v>
      </c>
      <c r="C83" s="33">
        <f>0</f>
        <v>0</v>
      </c>
      <c r="D83" s="36">
        <f t="shared" si="8"/>
        <v>0.68411552346570392</v>
      </c>
      <c r="E83" s="10"/>
      <c r="F83" s="10"/>
      <c r="G83" s="10"/>
      <c r="H83" s="10"/>
      <c r="I83" s="11" t="s">
        <v>34</v>
      </c>
      <c r="J83" s="10"/>
    </row>
    <row r="84" spans="2:10" x14ac:dyDescent="0.25">
      <c r="D84" t="s">
        <v>34</v>
      </c>
      <c r="I84" t="s">
        <v>34</v>
      </c>
      <c r="J84" s="10"/>
    </row>
    <row r="85" spans="2:10" x14ac:dyDescent="0.25">
      <c r="B85" s="8" t="s">
        <v>69</v>
      </c>
      <c r="C85" s="33">
        <f>C67</f>
        <v>-2.6428571428571415</v>
      </c>
      <c r="D85" s="10">
        <f t="shared" si="8"/>
        <v>0.41696750902527085</v>
      </c>
      <c r="E85" s="10"/>
      <c r="F85" s="10"/>
      <c r="G85" s="10"/>
      <c r="H85" s="10"/>
      <c r="I85" s="11" t="s">
        <v>34</v>
      </c>
      <c r="J85" s="10"/>
    </row>
    <row r="86" spans="2:10" x14ac:dyDescent="0.25">
      <c r="B86" s="8" t="s">
        <v>71</v>
      </c>
      <c r="C86" s="33">
        <f>0</f>
        <v>0</v>
      </c>
      <c r="D86" s="10">
        <f>(C86-C$98)/(C$97-C$98)</f>
        <v>0.68411552346570392</v>
      </c>
      <c r="E86" s="10"/>
      <c r="F86" s="36">
        <f>MAX(D85:D87)-MIN(D85:D87)</f>
        <v>0.68411552346570392</v>
      </c>
      <c r="G86" s="10"/>
      <c r="H86" s="10"/>
      <c r="I86" s="38">
        <f t="shared" ref="I86:I94" si="9">F86/$F$99</f>
        <v>0.53380281690140863</v>
      </c>
      <c r="J86" s="10"/>
    </row>
    <row r="87" spans="2:10" x14ac:dyDescent="0.25">
      <c r="B87" s="8" t="s">
        <v>70</v>
      </c>
      <c r="C87" s="33">
        <f>C68</f>
        <v>-6.7678571428571423</v>
      </c>
      <c r="D87" s="10">
        <f>(C87-C$98)/(C$97-C$98)</f>
        <v>0</v>
      </c>
      <c r="E87" s="10"/>
      <c r="F87" s="10"/>
      <c r="G87" s="10"/>
      <c r="H87" s="10"/>
      <c r="I87" s="11" t="s">
        <v>34</v>
      </c>
      <c r="J87" s="10"/>
    </row>
    <row r="88" spans="2:10" x14ac:dyDescent="0.25">
      <c r="I88" t="s">
        <v>34</v>
      </c>
      <c r="J88" s="10"/>
    </row>
    <row r="89" spans="2:10" x14ac:dyDescent="0.25">
      <c r="B89" s="9" t="s">
        <v>66</v>
      </c>
      <c r="C89" s="34">
        <f>C69</f>
        <v>0.91071428571428703</v>
      </c>
      <c r="D89" s="35">
        <f t="shared" si="8"/>
        <v>0.77617328519855611</v>
      </c>
      <c r="E89" s="10"/>
      <c r="F89" s="10"/>
      <c r="G89" s="10"/>
      <c r="H89" s="10"/>
      <c r="I89" s="11" t="s">
        <v>34</v>
      </c>
      <c r="J89" s="10"/>
    </row>
    <row r="90" spans="2:10" x14ac:dyDescent="0.25">
      <c r="B90" s="9" t="s">
        <v>67</v>
      </c>
      <c r="C90" s="33">
        <v>0</v>
      </c>
      <c r="D90" s="10">
        <f>(C90-C$98)/(C$97-C$98)</f>
        <v>0.68411552346570392</v>
      </c>
      <c r="E90" s="10"/>
      <c r="F90" s="36">
        <f>MAX(D89:D91)-MIN(D89:D91)</f>
        <v>0.31588447653429608</v>
      </c>
      <c r="G90" s="10"/>
      <c r="H90" s="10"/>
      <c r="I90" s="38">
        <f t="shared" si="9"/>
        <v>0.24647887323943674</v>
      </c>
      <c r="J90" s="10"/>
    </row>
    <row r="91" spans="2:10" x14ac:dyDescent="0.25">
      <c r="B91" s="9" t="s">
        <v>65</v>
      </c>
      <c r="C91" s="33">
        <f>C70</f>
        <v>3.1250000000000009</v>
      </c>
      <c r="D91" s="10">
        <f>(C91-C$98)/(C$97-C$98)</f>
        <v>1</v>
      </c>
      <c r="E91" s="10"/>
      <c r="F91" s="10"/>
      <c r="G91" s="10"/>
      <c r="H91" s="10"/>
      <c r="I91" s="11" t="s">
        <v>34</v>
      </c>
      <c r="J91" s="10"/>
    </row>
    <row r="92" spans="2:10" x14ac:dyDescent="0.25">
      <c r="I92" t="s">
        <v>34</v>
      </c>
      <c r="J92" s="10"/>
    </row>
    <row r="93" spans="2:10" x14ac:dyDescent="0.25">
      <c r="B93" s="16">
        <v>200</v>
      </c>
      <c r="C93" s="33">
        <f>C73</f>
        <v>0</v>
      </c>
      <c r="D93" s="10">
        <f t="shared" si="8"/>
        <v>0.68411552346570392</v>
      </c>
      <c r="E93" s="10"/>
      <c r="F93" s="10" t="s">
        <v>34</v>
      </c>
      <c r="G93" s="10"/>
      <c r="H93" s="10"/>
      <c r="I93" s="11" t="s">
        <v>34</v>
      </c>
      <c r="J93" s="10"/>
    </row>
    <row r="94" spans="2:10" x14ac:dyDescent="0.25">
      <c r="B94" s="16">
        <v>300</v>
      </c>
      <c r="C94" s="33">
        <f>C71</f>
        <v>0.64285714285714313</v>
      </c>
      <c r="D94" s="10">
        <f>(C94-C$98)/(C$97-C$98)</f>
        <v>0.74909747292418771</v>
      </c>
      <c r="E94" s="10"/>
      <c r="F94" s="36">
        <f>MAX(D93:D95)-MIN(D93:D95)</f>
        <v>0.14801444043321299</v>
      </c>
      <c r="G94" s="10"/>
      <c r="H94" s="10"/>
      <c r="I94" s="38">
        <f t="shared" si="9"/>
        <v>0.11549295774647891</v>
      </c>
      <c r="J94" s="10"/>
    </row>
    <row r="95" spans="2:10" x14ac:dyDescent="0.25">
      <c r="B95" s="16">
        <v>400</v>
      </c>
      <c r="C95" s="34">
        <f>C72</f>
        <v>1.4642857142857137</v>
      </c>
      <c r="D95" s="35">
        <f>(C95-C$98)/(C$97-C$98)</f>
        <v>0.83212996389891691</v>
      </c>
      <c r="E95" s="10"/>
      <c r="F95" s="10"/>
      <c r="G95" s="10"/>
      <c r="H95" s="10"/>
      <c r="I95" s="10" t="s">
        <v>34</v>
      </c>
      <c r="J95" s="10"/>
    </row>
    <row r="96" spans="2:10" x14ac:dyDescent="0.25">
      <c r="B96" t="s">
        <v>34</v>
      </c>
      <c r="C96" t="s">
        <v>34</v>
      </c>
      <c r="D96" t="s">
        <v>34</v>
      </c>
      <c r="F96" t="s">
        <v>34</v>
      </c>
      <c r="I96" t="s">
        <v>34</v>
      </c>
      <c r="J96" s="8"/>
    </row>
    <row r="97" spans="2:10" x14ac:dyDescent="0.25">
      <c r="B97" s="8" t="s">
        <v>40</v>
      </c>
      <c r="C97" s="33">
        <f>MAX(C81:C95)</f>
        <v>3.1250000000000009</v>
      </c>
      <c r="D97" s="8" t="s">
        <v>34</v>
      </c>
      <c r="E97" s="8"/>
      <c r="F97" s="8"/>
      <c r="G97" s="8"/>
      <c r="H97" s="8"/>
      <c r="I97" s="8"/>
      <c r="J97" s="8"/>
    </row>
    <row r="98" spans="2:10" x14ac:dyDescent="0.25">
      <c r="B98" s="8" t="s">
        <v>41</v>
      </c>
      <c r="C98" s="33">
        <f>MIN(C81:C95)</f>
        <v>-6.7678571428571423</v>
      </c>
      <c r="D98" s="8"/>
      <c r="E98" s="8"/>
      <c r="F98" s="8"/>
      <c r="G98" s="8"/>
      <c r="H98" s="8"/>
      <c r="I98" s="8"/>
      <c r="J98" s="8"/>
    </row>
    <row r="99" spans="2:10" x14ac:dyDescent="0.25">
      <c r="B99" s="8"/>
      <c r="C99" s="40"/>
      <c r="D99" s="8"/>
      <c r="E99" s="8" t="s">
        <v>35</v>
      </c>
      <c r="F99" s="37">
        <f>SUM(F82:F96)</f>
        <v>1.2815884476534292</v>
      </c>
      <c r="G99" s="8"/>
      <c r="H99" s="8"/>
      <c r="I99" s="39">
        <f>SUM(I82:I96)</f>
        <v>1.0000000000000002</v>
      </c>
      <c r="J99" s="8"/>
    </row>
    <row r="114" spans="2:17" x14ac:dyDescent="0.25">
      <c r="B114" s="4" t="s">
        <v>95</v>
      </c>
    </row>
    <row r="115" spans="2:17" x14ac:dyDescent="0.25">
      <c r="C115" s="4"/>
      <c r="D115" s="4"/>
      <c r="E115" s="4"/>
    </row>
    <row r="116" spans="2:17" x14ac:dyDescent="0.25">
      <c r="B116" s="12" t="s">
        <v>72</v>
      </c>
      <c r="C116" s="12"/>
      <c r="D116" s="12"/>
      <c r="E116" s="13"/>
      <c r="F116" s="13"/>
      <c r="G116" s="13"/>
      <c r="H116" s="13"/>
      <c r="I116" s="13"/>
      <c r="J116" s="13"/>
      <c r="N116" s="13"/>
      <c r="O116" s="13"/>
      <c r="P116" s="13"/>
      <c r="Q116" s="13"/>
    </row>
    <row r="117" spans="2:17" x14ac:dyDescent="0.25">
      <c r="B117" s="13"/>
      <c r="C117" s="13"/>
      <c r="D117" s="13"/>
      <c r="E117" s="13"/>
      <c r="F117" s="13"/>
      <c r="G117" s="13"/>
      <c r="H117" s="13"/>
      <c r="I117" s="13"/>
      <c r="J117" s="13"/>
      <c r="N117" s="13"/>
      <c r="O117" s="13"/>
      <c r="P117" s="13"/>
      <c r="Q117" s="13"/>
    </row>
    <row r="118" spans="2:17" ht="31.5" x14ac:dyDescent="0.25">
      <c r="B118" s="29" t="s">
        <v>93</v>
      </c>
      <c r="C118" s="30" t="s">
        <v>46</v>
      </c>
      <c r="D118" s="30" t="s">
        <v>47</v>
      </c>
      <c r="E118" s="30" t="s">
        <v>60</v>
      </c>
      <c r="F118" s="30" t="s">
        <v>62</v>
      </c>
      <c r="G118" s="30" t="s">
        <v>61</v>
      </c>
      <c r="H118" s="30" t="s">
        <v>63</v>
      </c>
      <c r="I118" s="30" t="s">
        <v>98</v>
      </c>
      <c r="J118" s="30" t="s">
        <v>64</v>
      </c>
      <c r="N118" s="6" t="s">
        <v>3</v>
      </c>
      <c r="O118" s="13"/>
      <c r="P118" s="12" t="s">
        <v>36</v>
      </c>
      <c r="Q118" s="13"/>
    </row>
    <row r="119" spans="2:17" ht="15.75" x14ac:dyDescent="0.25">
      <c r="B119" s="15" t="s">
        <v>37</v>
      </c>
      <c r="C119" s="13">
        <v>1</v>
      </c>
      <c r="D119" s="13">
        <f>IF(C110="European",1,0)</f>
        <v>0</v>
      </c>
      <c r="E119" s="13">
        <v>1</v>
      </c>
      <c r="F119" s="13">
        <v>0</v>
      </c>
      <c r="G119" s="13">
        <v>0</v>
      </c>
      <c r="H119" s="13">
        <f>IF(E110="Electric",1,0)</f>
        <v>0</v>
      </c>
      <c r="I119" s="13">
        <v>1</v>
      </c>
      <c r="J119" s="13">
        <f>IF(F110=30000,1,0)</f>
        <v>0</v>
      </c>
      <c r="N119" s="13" cm="1">
        <f t="array" ref="N119:N121">TREND(L30:L44,C30:J44,C119:J121)</f>
        <v>9.1834415584415563</v>
      </c>
      <c r="O119" s="13"/>
      <c r="P119" s="14">
        <f>N119/(SUM($N$119:$N$121))</f>
        <v>0.29636420787929585</v>
      </c>
      <c r="Q119" s="13"/>
    </row>
    <row r="120" spans="2:17" ht="15.75" x14ac:dyDescent="0.25">
      <c r="B120" s="15" t="s">
        <v>38</v>
      </c>
      <c r="C120" s="13">
        <v>0</v>
      </c>
      <c r="D120" s="13">
        <v>1</v>
      </c>
      <c r="E120" s="13">
        <v>0</v>
      </c>
      <c r="F120" s="13">
        <f>IF(D111="SUV",1,0)</f>
        <v>0</v>
      </c>
      <c r="G120" s="13">
        <v>1</v>
      </c>
      <c r="H120" s="13">
        <v>0</v>
      </c>
      <c r="I120" s="13">
        <f>IF(F111=20000,1,0)</f>
        <v>0</v>
      </c>
      <c r="J120" s="13">
        <v>0</v>
      </c>
      <c r="N120" s="13">
        <v>16.961038961038959</v>
      </c>
      <c r="O120" s="13"/>
      <c r="P120" s="14">
        <f>N120/(SUM($N$119:$N$121))</f>
        <v>0.5473595976529757</v>
      </c>
      <c r="Q120" s="13"/>
    </row>
    <row r="121" spans="2:17" ht="15.75" x14ac:dyDescent="0.25">
      <c r="B121" s="15" t="s">
        <v>39</v>
      </c>
      <c r="C121" s="13">
        <f>IF(C112="Japanese",1,0)</f>
        <v>0</v>
      </c>
      <c r="D121" s="13">
        <v>0</v>
      </c>
      <c r="E121" s="13">
        <f>IF(D112="Sedan",1,0)</f>
        <v>0</v>
      </c>
      <c r="F121" s="13">
        <v>1</v>
      </c>
      <c r="G121" s="13">
        <v>1</v>
      </c>
      <c r="H121" s="13">
        <f>IF(E112="Electric",1,0)</f>
        <v>0</v>
      </c>
      <c r="I121" s="13">
        <f>IF(F112=20000,1,0)</f>
        <v>0</v>
      </c>
      <c r="J121" s="13">
        <v>1</v>
      </c>
      <c r="N121" s="13">
        <v>4.8425324675324681</v>
      </c>
      <c r="O121" s="13"/>
      <c r="P121" s="14">
        <f>N121/(SUM($N$119:$N$121))</f>
        <v>0.15627619446772845</v>
      </c>
      <c r="Q121" s="13"/>
    </row>
    <row r="125" spans="2:17" x14ac:dyDescent="0.25">
      <c r="B125" s="4" t="s">
        <v>73</v>
      </c>
      <c r="L125" s="19"/>
    </row>
    <row r="126" spans="2:17" x14ac:dyDescent="0.25">
      <c r="L126" s="19"/>
    </row>
    <row r="127" spans="2:17" x14ac:dyDescent="0.25">
      <c r="B127" t="s">
        <v>74</v>
      </c>
      <c r="L127" s="19"/>
    </row>
    <row r="128" spans="2:17" x14ac:dyDescent="0.25">
      <c r="L128" s="19"/>
    </row>
    <row r="129" spans="2:17" x14ac:dyDescent="0.25">
      <c r="B129" t="s">
        <v>75</v>
      </c>
      <c r="L129" s="19"/>
    </row>
    <row r="130" spans="2:17" x14ac:dyDescent="0.25">
      <c r="B130" t="s">
        <v>76</v>
      </c>
      <c r="L130" s="19"/>
    </row>
    <row r="131" spans="2:17" x14ac:dyDescent="0.25">
      <c r="N131" s="20"/>
      <c r="O131" s="21" t="s">
        <v>92</v>
      </c>
      <c r="P131" s="22"/>
      <c r="Q131" s="4" t="s">
        <v>94</v>
      </c>
    </row>
    <row r="132" spans="2:17" ht="30.75" thickBot="1" x14ac:dyDescent="0.3">
      <c r="B132" s="23" t="s">
        <v>77</v>
      </c>
      <c r="C132" s="23" t="s">
        <v>15</v>
      </c>
      <c r="D132" s="23" t="s">
        <v>43</v>
      </c>
      <c r="E132" s="23" t="s">
        <v>44</v>
      </c>
      <c r="F132" s="23" t="s">
        <v>79</v>
      </c>
      <c r="G132" s="23" t="s">
        <v>80</v>
      </c>
      <c r="H132" s="23" t="s">
        <v>82</v>
      </c>
      <c r="I132" s="23" t="s">
        <v>81</v>
      </c>
      <c r="J132" s="24">
        <v>300</v>
      </c>
      <c r="K132" s="24">
        <v>400</v>
      </c>
      <c r="N132" s="25" t="s">
        <v>83</v>
      </c>
      <c r="O132" s="25" t="s">
        <v>84</v>
      </c>
      <c r="P132" s="25" t="s">
        <v>85</v>
      </c>
    </row>
    <row r="133" spans="2:17" ht="15.75" thickBot="1" x14ac:dyDescent="0.3">
      <c r="B133" s="26">
        <v>1</v>
      </c>
      <c r="C133" s="45">
        <v>13.777597399999999</v>
      </c>
      <c r="D133" s="45">
        <v>0.29220779219999998</v>
      </c>
      <c r="E133" s="45">
        <v>1.051948052</v>
      </c>
      <c r="F133" s="45">
        <v>0.61038961039999995</v>
      </c>
      <c r="G133" s="45">
        <v>-3.491883117</v>
      </c>
      <c r="H133" s="45">
        <v>-4.5340909089999997</v>
      </c>
      <c r="I133" s="45">
        <v>2.131493506</v>
      </c>
      <c r="J133" s="45">
        <v>-5.496753247</v>
      </c>
      <c r="K133" s="45">
        <v>-7.5746753250000003</v>
      </c>
      <c r="N133" s="48">
        <f>C133+D133+F133+0+J133</f>
        <v>9.1834415555999982</v>
      </c>
      <c r="O133" s="30">
        <f>C133+E133+0+I133+0</f>
        <v>16.961038958</v>
      </c>
      <c r="P133" s="20">
        <f>C133+0+G133+I133+K133</f>
        <v>4.8425324639999987</v>
      </c>
      <c r="Q133" s="49" t="s">
        <v>38</v>
      </c>
    </row>
    <row r="134" spans="2:17" ht="15.75" thickBot="1" x14ac:dyDescent="0.3">
      <c r="B134" s="26">
        <v>2</v>
      </c>
      <c r="C134" s="45">
        <v>8.84</v>
      </c>
      <c r="D134" s="45">
        <v>0.11</v>
      </c>
      <c r="E134" s="45">
        <v>-1.21</v>
      </c>
      <c r="F134" s="45">
        <v>-2.64</v>
      </c>
      <c r="G134" s="45">
        <v>-6.78</v>
      </c>
      <c r="H134" s="45">
        <v>0.91</v>
      </c>
      <c r="I134" s="45">
        <v>3.13</v>
      </c>
      <c r="J134" s="45">
        <v>0.64</v>
      </c>
      <c r="K134" s="46">
        <v>1.46</v>
      </c>
      <c r="N134" s="48">
        <f t="shared" ref="N134:N141" si="10">C134+D134+F134+0+J134</f>
        <v>6.9499999999999984</v>
      </c>
      <c r="O134" s="30">
        <f t="shared" ref="O134:O141" si="11">C134+E134+0+I134+0</f>
        <v>10.76</v>
      </c>
      <c r="P134" s="20">
        <f t="shared" ref="P134:P141" si="12">C134+0+G134+I134+K134</f>
        <v>6.6499999999999995</v>
      </c>
      <c r="Q134" s="49" t="s">
        <v>38</v>
      </c>
    </row>
    <row r="135" spans="2:17" ht="15.75" thickBot="1" x14ac:dyDescent="0.3">
      <c r="B135" s="26">
        <v>3</v>
      </c>
      <c r="C135" s="45">
        <v>13.236695879999999</v>
      </c>
      <c r="D135" s="45">
        <v>4.9961814E-2</v>
      </c>
      <c r="E135" s="45">
        <v>0.45977452400000002</v>
      </c>
      <c r="F135" s="45">
        <v>1.058977311</v>
      </c>
      <c r="G135" s="45">
        <v>0.52852577300000003</v>
      </c>
      <c r="H135" s="45">
        <v>-3.4327562299999999</v>
      </c>
      <c r="I135" s="45">
        <v>2.1042686439999998</v>
      </c>
      <c r="J135" s="45">
        <v>-4.4843183450000001</v>
      </c>
      <c r="K135" s="45">
        <v>-5.3989924680000003</v>
      </c>
      <c r="N135" s="48">
        <f t="shared" si="10"/>
        <v>9.8613166599999982</v>
      </c>
      <c r="O135" s="30">
        <f t="shared" si="11"/>
        <v>15.800739047999999</v>
      </c>
      <c r="P135" s="20">
        <f t="shared" si="12"/>
        <v>10.470497828999999</v>
      </c>
      <c r="Q135" s="49" t="s">
        <v>38</v>
      </c>
    </row>
    <row r="136" spans="2:17" ht="15.75" thickBot="1" x14ac:dyDescent="0.3">
      <c r="B136" s="26">
        <v>4</v>
      </c>
      <c r="C136" s="45">
        <v>5.5600649999999998</v>
      </c>
      <c r="D136" s="45">
        <v>-2.8051900000000001</v>
      </c>
      <c r="E136" s="45">
        <v>-2.9653700000000001</v>
      </c>
      <c r="F136" s="45">
        <v>1.073593</v>
      </c>
      <c r="G136" s="45">
        <v>4.297078</v>
      </c>
      <c r="H136" s="45">
        <v>-3.3143899999999999</v>
      </c>
      <c r="I136" s="45">
        <v>2.8793289999999998</v>
      </c>
      <c r="J136" s="45">
        <v>3.5854979999999999</v>
      </c>
      <c r="K136" s="46">
        <v>4.7002160000000002</v>
      </c>
      <c r="N136" s="48">
        <f t="shared" si="10"/>
        <v>7.4139660000000003</v>
      </c>
      <c r="O136" s="30">
        <f t="shared" si="11"/>
        <v>5.474024</v>
      </c>
      <c r="P136" s="20">
        <f t="shared" si="12"/>
        <v>17.436688</v>
      </c>
      <c r="Q136" s="49" t="s">
        <v>39</v>
      </c>
    </row>
    <row r="137" spans="2:17" ht="15.75" thickBot="1" x14ac:dyDescent="0.3">
      <c r="B137" s="26">
        <v>5</v>
      </c>
      <c r="C137" s="45">
        <v>2.3327922079999999</v>
      </c>
      <c r="D137" s="45">
        <v>1.376623377</v>
      </c>
      <c r="E137" s="47">
        <v>3.4891774889999998</v>
      </c>
      <c r="F137" s="47">
        <v>4.164502165</v>
      </c>
      <c r="G137" s="47">
        <v>1.5243506490000001</v>
      </c>
      <c r="H137" s="47">
        <v>2.7310606059999998</v>
      </c>
      <c r="I137" s="47">
        <v>-1.4388528140000001</v>
      </c>
      <c r="J137" s="47">
        <v>-0.32359307399999998</v>
      </c>
      <c r="K137" s="47">
        <v>5.6093073589999998</v>
      </c>
      <c r="N137" s="48">
        <f t="shared" si="10"/>
        <v>7.5503246760000007</v>
      </c>
      <c r="O137" s="30">
        <f t="shared" si="11"/>
        <v>4.3831168829999996</v>
      </c>
      <c r="P137" s="20">
        <f t="shared" si="12"/>
        <v>8.0275974019999996</v>
      </c>
      <c r="Q137" s="49" t="s">
        <v>39</v>
      </c>
    </row>
    <row r="138" spans="2:17" ht="15.75" thickBot="1" x14ac:dyDescent="0.3">
      <c r="B138" s="26">
        <v>6</v>
      </c>
      <c r="C138" s="45">
        <v>3.53</v>
      </c>
      <c r="D138" s="45">
        <v>0.5</v>
      </c>
      <c r="E138" s="45">
        <v>0.62</v>
      </c>
      <c r="F138" s="45">
        <v>0.28999999999999998</v>
      </c>
      <c r="G138" s="45">
        <v>0.43</v>
      </c>
      <c r="H138" s="45">
        <v>-0.72</v>
      </c>
      <c r="I138" s="45">
        <v>-1.01</v>
      </c>
      <c r="J138" s="45">
        <v>-0.56999999999999995</v>
      </c>
      <c r="K138" s="45">
        <v>-0.61</v>
      </c>
      <c r="N138" s="48">
        <f t="shared" si="10"/>
        <v>3.7499999999999996</v>
      </c>
      <c r="O138" s="30">
        <f t="shared" si="11"/>
        <v>3.1399999999999997</v>
      </c>
      <c r="P138" s="20">
        <f t="shared" si="12"/>
        <v>2.3400000000000003</v>
      </c>
      <c r="Q138" s="49" t="s">
        <v>37</v>
      </c>
    </row>
    <row r="139" spans="2:17" ht="15.75" thickBot="1" x14ac:dyDescent="0.3">
      <c r="B139" s="26">
        <v>7</v>
      </c>
      <c r="C139" s="45">
        <v>13.41558442</v>
      </c>
      <c r="D139" s="45">
        <v>-7.1098265999999993E-2</v>
      </c>
      <c r="E139" s="45">
        <v>-0.90404624300000003</v>
      </c>
      <c r="F139" s="45">
        <v>-0.53063583800000003</v>
      </c>
      <c r="G139" s="45">
        <v>3.4104045999999999E-2</v>
      </c>
      <c r="H139" s="45">
        <v>-3.468208E-3</v>
      </c>
      <c r="I139" s="45">
        <v>-2.0231214000000001E-2</v>
      </c>
      <c r="J139" s="45">
        <v>-4.5485549130000003</v>
      </c>
      <c r="K139" s="46">
        <v>-10.06705202</v>
      </c>
      <c r="N139" s="48">
        <f t="shared" si="10"/>
        <v>8.2652954029999997</v>
      </c>
      <c r="O139" s="30">
        <f t="shared" si="11"/>
        <v>12.491306963</v>
      </c>
      <c r="P139" s="20">
        <f t="shared" si="12"/>
        <v>3.3624052319999986</v>
      </c>
      <c r="Q139" s="49" t="s">
        <v>38</v>
      </c>
    </row>
    <row r="140" spans="2:17" ht="15.75" thickBot="1" x14ac:dyDescent="0.3">
      <c r="B140" s="26">
        <v>8</v>
      </c>
      <c r="C140" s="45">
        <v>6.13</v>
      </c>
      <c r="D140" s="45">
        <v>2.87</v>
      </c>
      <c r="E140" s="45">
        <v>-0.47</v>
      </c>
      <c r="F140" s="45">
        <v>-2.4900000000000002</v>
      </c>
      <c r="G140" s="45">
        <v>1.3</v>
      </c>
      <c r="H140" s="45">
        <v>-6.07</v>
      </c>
      <c r="I140" s="45">
        <v>4.6900000000000004</v>
      </c>
      <c r="J140" s="45">
        <v>2.72</v>
      </c>
      <c r="K140" s="45">
        <v>3.42</v>
      </c>
      <c r="N140" s="48">
        <f t="shared" si="10"/>
        <v>9.23</v>
      </c>
      <c r="O140" s="30">
        <f t="shared" si="11"/>
        <v>10.350000000000001</v>
      </c>
      <c r="P140" s="20">
        <f t="shared" si="12"/>
        <v>15.540000000000001</v>
      </c>
      <c r="Q140" s="49" t="s">
        <v>39</v>
      </c>
    </row>
    <row r="141" spans="2:17" ht="15.75" thickBot="1" x14ac:dyDescent="0.3">
      <c r="B141" s="26">
        <v>9</v>
      </c>
      <c r="C141" s="45">
        <v>13.53246753</v>
      </c>
      <c r="D141" s="45">
        <v>-0.84740259699999998</v>
      </c>
      <c r="E141" s="45">
        <v>1.482683983</v>
      </c>
      <c r="F141" s="45">
        <v>0.96320346300000004</v>
      </c>
      <c r="G141" s="45">
        <v>-3.4610389609999999</v>
      </c>
      <c r="H141" s="45">
        <v>-2.0303030299999998</v>
      </c>
      <c r="I141" s="45">
        <v>3.2478354980000002</v>
      </c>
      <c r="J141" s="45">
        <v>-6.667748918</v>
      </c>
      <c r="K141" s="46">
        <v>-8.7251082249999996</v>
      </c>
      <c r="N141" s="48">
        <f t="shared" si="10"/>
        <v>6.9805194779999988</v>
      </c>
      <c r="O141" s="30">
        <f t="shared" si="11"/>
        <v>18.262987011</v>
      </c>
      <c r="P141" s="20">
        <f t="shared" si="12"/>
        <v>4.594155842000001</v>
      </c>
      <c r="Q141" s="49" t="s">
        <v>38</v>
      </c>
    </row>
    <row r="142" spans="2:17" x14ac:dyDescent="0.25">
      <c r="L142" s="19"/>
    </row>
    <row r="143" spans="2:17" x14ac:dyDescent="0.25">
      <c r="B143" s="27" t="s">
        <v>86</v>
      </c>
      <c r="L143" s="19"/>
    </row>
    <row r="144" spans="2:17" x14ac:dyDescent="0.25">
      <c r="B144" s="27" t="s">
        <v>87</v>
      </c>
      <c r="L144" s="19"/>
    </row>
    <row r="145" spans="2:17" x14ac:dyDescent="0.25">
      <c r="B145" s="27" t="s">
        <v>88</v>
      </c>
      <c r="L145" s="19"/>
      <c r="O145" t="s">
        <v>99</v>
      </c>
      <c r="Q145" s="14">
        <v>0.1111</v>
      </c>
    </row>
    <row r="146" spans="2:17" x14ac:dyDescent="0.25">
      <c r="L146" s="19"/>
      <c r="O146" t="s">
        <v>100</v>
      </c>
      <c r="Q146" s="14">
        <v>0.55559999999999998</v>
      </c>
    </row>
    <row r="147" spans="2:17" x14ac:dyDescent="0.25">
      <c r="B147" s="27" t="s">
        <v>89</v>
      </c>
      <c r="D147" t="s">
        <v>78</v>
      </c>
      <c r="L147" s="19"/>
      <c r="O147" t="s">
        <v>101</v>
      </c>
      <c r="Q147" s="14">
        <v>0.33329999999999999</v>
      </c>
    </row>
    <row r="148" spans="2:17" x14ac:dyDescent="0.25">
      <c r="B148" s="27" t="s">
        <v>90</v>
      </c>
      <c r="D148" s="28">
        <v>0.4</v>
      </c>
      <c r="L148" s="19"/>
    </row>
    <row r="149" spans="2:17" x14ac:dyDescent="0.25">
      <c r="B149" s="27" t="s">
        <v>91</v>
      </c>
      <c r="D149" s="28">
        <v>0.3</v>
      </c>
      <c r="L149" s="19"/>
    </row>
    <row r="150" spans="2:17" x14ac:dyDescent="0.25">
      <c r="L150" s="19"/>
    </row>
    <row r="151" spans="2:17" x14ac:dyDescent="0.25">
      <c r="L151" s="19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Hotel_Conjoint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</dc:creator>
  <cp:lastModifiedBy>Kaur, Manvir</cp:lastModifiedBy>
  <dcterms:created xsi:type="dcterms:W3CDTF">2022-04-04T02:20:50Z</dcterms:created>
  <dcterms:modified xsi:type="dcterms:W3CDTF">2025-10-17T02:53:23Z</dcterms:modified>
</cp:coreProperties>
</file>