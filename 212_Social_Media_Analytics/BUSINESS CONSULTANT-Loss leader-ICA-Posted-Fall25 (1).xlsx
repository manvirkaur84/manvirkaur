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vir Kaur\Downloads\"/>
    </mc:Choice>
  </mc:AlternateContent>
  <xr:revisionPtr revIDLastSave="0" documentId="13_ncr:1_{0224F85E-0D60-4554-84C9-83658F6E0C34}" xr6:coauthVersionLast="47" xr6:coauthVersionMax="47" xr10:uidLastSave="{00000000-0000-0000-0000-000000000000}"/>
  <bookViews>
    <workbookView xWindow="15675" yWindow="945" windowWidth="22260" windowHeight="19410" xr2:uid="{E0826C9C-7233-4D32-A6A9-05D8F2A86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G34" i="1" s="1"/>
  <c r="C16" i="1"/>
  <c r="C18" i="1" s="1"/>
  <c r="H15" i="1" l="1"/>
  <c r="H17" i="1"/>
  <c r="I27" i="1" s="1"/>
  <c r="C20" i="1"/>
  <c r="H18" i="1"/>
  <c r="I28" i="1" s="1"/>
  <c r="H19" i="1"/>
  <c r="I29" i="1" s="1"/>
  <c r="H20" i="1"/>
  <c r="I30" i="1" s="1"/>
  <c r="H16" i="1"/>
  <c r="I26" i="1" s="1"/>
  <c r="H30" i="1"/>
  <c r="H28" i="1"/>
  <c r="H29" i="1"/>
  <c r="C23" i="1"/>
  <c r="H27" i="1" l="1"/>
  <c r="I25" i="1"/>
  <c r="H26" i="1"/>
  <c r="C25" i="1"/>
  <c r="C27" i="1" l="1"/>
  <c r="G35" i="1"/>
</calcChain>
</file>

<file path=xl/sharedStrings.xml><?xml version="1.0" encoding="utf-8"?>
<sst xmlns="http://schemas.openxmlformats.org/spreadsheetml/2006/main" count="47" uniqueCount="34">
  <si>
    <t>Product</t>
  </si>
  <si>
    <t>Dollar Change</t>
  </si>
  <si>
    <t>Contribution Margin</t>
  </si>
  <si>
    <t>Fruits and Vegetables</t>
  </si>
  <si>
    <t>Packaged Groceries</t>
  </si>
  <si>
    <t>Frozen Foods</t>
  </si>
  <si>
    <t>–1.250</t>
  </si>
  <si>
    <t>Other meat including chicken partschicken parts</t>
  </si>
  <si>
    <t xml:space="preserve"> </t>
  </si>
  <si>
    <t>Profit decrease for each pound of  chicken sales due to price cut</t>
  </si>
  <si>
    <t>Number of additional pounds of chicken to be sold to make up for the loss of each pound of chicken sold</t>
  </si>
  <si>
    <t>Current Price</t>
  </si>
  <si>
    <t>Promotional price</t>
  </si>
  <si>
    <t>Cost</t>
  </si>
  <si>
    <t>% Increase in sales of chicken</t>
  </si>
  <si>
    <t>Price</t>
  </si>
  <si>
    <t>Current Sales</t>
  </si>
  <si>
    <t>Profit from current pricing and sales of 1000 lbs:</t>
  </si>
  <si>
    <t xml:space="preserve">Net profit increase for each additional pound of chicken sales </t>
  </si>
  <si>
    <t>Let us check the work if profits break even when the price is reduced to $2.99</t>
  </si>
  <si>
    <t>BEQ</t>
  </si>
  <si>
    <t xml:space="preserve"> (profit per pound of additional sales of chicken plus profit from other products on account of this)</t>
  </si>
  <si>
    <t>Business consultant fee</t>
  </si>
  <si>
    <t xml:space="preserve">Profit increase from other products for one pound of additional chicken sales </t>
  </si>
  <si>
    <t>Profit increase after consultant fee</t>
  </si>
  <si>
    <t xml:space="preserve">  </t>
  </si>
  <si>
    <t>Price Elasticity</t>
  </si>
  <si>
    <t>Profit from promotional pricing and sales of 59% more:</t>
  </si>
  <si>
    <t>Observed Demand</t>
  </si>
  <si>
    <t xml:space="preserve"> (price discount from reg promotional Price)</t>
  </si>
  <si>
    <t>Market Demand Curve</t>
  </si>
  <si>
    <t>Break-Even Demand Analysis for Profitability  (Break Even Quantity Curve)</t>
  </si>
  <si>
    <t>what is gross profit?</t>
  </si>
  <si>
    <r>
      <t>Price elasticity:</t>
    </r>
    <r>
      <rPr>
        <sz val="24"/>
        <color theme="1"/>
        <rFont val="Calibri"/>
        <family val="2"/>
        <scheme val="minor"/>
      </rPr>
      <t xml:space="preserve"> how much people buy changes when the price changes.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</si>
</sst>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"/>
    <numFmt numFmtId="165" formatCode="&quot;$&quot;#,##0.0"/>
  </numFmts>
  <fonts count="11" x14ac:knownFonts="1">
    <font>
      <sz val="2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2" fontId="1" fillId="0" borderId="0" xfId="0" applyNumberFormat="1" applyFont="1" applyAlignment="1">
      <alignment wrapText="1"/>
    </xf>
    <xf numFmtId="1" fontId="0" fillId="0" borderId="0" xfId="0" applyNumberFormat="1"/>
    <xf numFmtId="0" fontId="0" fillId="0" borderId="0" xfId="0" applyAlignment="1">
      <alignment horizontal="center"/>
    </xf>
    <xf numFmtId="0" fontId="0" fillId="4" borderId="0" xfId="0" applyFill="1"/>
    <xf numFmtId="0" fontId="5" fillId="0" borderId="0" xfId="0" applyFont="1" applyAlignment="1">
      <alignment horizontal="justify" vertical="center" wrapText="1"/>
    </xf>
    <xf numFmtId="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Alignment="1">
      <alignment horizontal="center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1" fontId="0" fillId="4" borderId="0" xfId="0" applyNumberFormat="1" applyFill="1"/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8" fontId="5" fillId="0" borderId="0" xfId="0" applyNumberFormat="1" applyFont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Sheet1!$H$12</c:f>
              <c:strCache>
                <c:ptCount val="1"/>
                <c:pt idx="0">
                  <c:v>BEQ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4F-4190-BC2A-57A56D7D07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Sheet1!$H$15:$H$20</c:f>
              <c:numCache>
                <c:formatCode>0</c:formatCode>
                <c:ptCount val="6"/>
                <c:pt idx="0">
                  <c:v>1000</c:v>
                </c:pt>
                <c:pt idx="1">
                  <c:v>1043.0474124200396</c:v>
                </c:pt>
                <c:pt idx="2">
                  <c:v>1141.3081365225012</c:v>
                </c:pt>
                <c:pt idx="3">
                  <c:v>1260.0076962278083</c:v>
                </c:pt>
                <c:pt idx="4">
                  <c:v>1406.2634212023077</c:v>
                </c:pt>
                <c:pt idx="5">
                  <c:v>1590.9311762156763</c:v>
                </c:pt>
              </c:numCache>
            </c:numRef>
          </c:xVal>
          <c:yVal>
            <c:numRef>
              <c:f>Sheet1!$G$15:$G$20</c:f>
              <c:numCache>
                <c:formatCode>General</c:formatCode>
                <c:ptCount val="6"/>
                <c:pt idx="0">
                  <c:v>3.89</c:v>
                </c:pt>
                <c:pt idx="1">
                  <c:v>3.79</c:v>
                </c:pt>
                <c:pt idx="2">
                  <c:v>3.59</c:v>
                </c:pt>
                <c:pt idx="3">
                  <c:v>3.39</c:v>
                </c:pt>
                <c:pt idx="4">
                  <c:v>3.19</c:v>
                </c:pt>
                <c:pt idx="5">
                  <c:v>2.99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F-4190-BC2A-57A56D7D0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533760"/>
        <c:axId val="1705108512"/>
      </c:scatterChart>
      <c:valAx>
        <c:axId val="1453533760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08512"/>
        <c:crossesAt val="2.9899999999999998"/>
        <c:crossBetween val="midCat"/>
      </c:valAx>
      <c:valAx>
        <c:axId val="1705108512"/>
        <c:scaling>
          <c:orientation val="minMax"/>
          <c:min val="2.98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3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BEQ Curve and Market Demand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34230625221588E-2"/>
          <c:y val="8.8944705413532027E-2"/>
          <c:w val="0.88509404632752653"/>
          <c:h val="0.83838319288588969"/>
        </c:manualLayout>
      </c:layout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rgbClr val="7030A0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0993645044781191E-2"/>
                  <c:y val="-0.374312665462515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Sheet1!$H$25:$H$30</c:f>
              <c:numCache>
                <c:formatCode>0.0</c:formatCode>
                <c:ptCount val="6"/>
                <c:pt idx="0">
                  <c:v>1000</c:v>
                </c:pt>
                <c:pt idx="1">
                  <c:v>1051.4138817480721</c:v>
                </c:pt>
                <c:pt idx="2">
                  <c:v>1154.241645244216</c:v>
                </c:pt>
                <c:pt idx="3">
                  <c:v>1257.0694087403599</c:v>
                </c:pt>
                <c:pt idx="4">
                  <c:v>1359.897172236504</c:v>
                </c:pt>
                <c:pt idx="5">
                  <c:v>1462.7249357326477</c:v>
                </c:pt>
              </c:numCache>
            </c:numRef>
          </c:xVal>
          <c:yVal>
            <c:numRef>
              <c:f>Sheet1!$G$25:$G$30</c:f>
              <c:numCache>
                <c:formatCode>General</c:formatCode>
                <c:ptCount val="6"/>
                <c:pt idx="0">
                  <c:v>3.89</c:v>
                </c:pt>
                <c:pt idx="1">
                  <c:v>3.79</c:v>
                </c:pt>
                <c:pt idx="2">
                  <c:v>3.59</c:v>
                </c:pt>
                <c:pt idx="3">
                  <c:v>3.39</c:v>
                </c:pt>
                <c:pt idx="4">
                  <c:v>3.19</c:v>
                </c:pt>
                <c:pt idx="5">
                  <c:v>2.99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B9A-4A76-B140-8E3772DDA3A6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Sheet1!$I$25:$I$30</c:f>
              <c:numCache>
                <c:formatCode>0</c:formatCode>
                <c:ptCount val="6"/>
                <c:pt idx="0">
                  <c:v>1000</c:v>
                </c:pt>
                <c:pt idx="1">
                  <c:v>1043.0474124200396</c:v>
                </c:pt>
                <c:pt idx="2">
                  <c:v>1141.3081365225012</c:v>
                </c:pt>
                <c:pt idx="3">
                  <c:v>1260.0076962278083</c:v>
                </c:pt>
                <c:pt idx="4">
                  <c:v>1406.2634212023077</c:v>
                </c:pt>
                <c:pt idx="5">
                  <c:v>1590.9311762156763</c:v>
                </c:pt>
              </c:numCache>
            </c:numRef>
          </c:xVal>
          <c:yVal>
            <c:numRef>
              <c:f>Sheet1!$G$25:$G$30</c:f>
              <c:numCache>
                <c:formatCode>General</c:formatCode>
                <c:ptCount val="6"/>
                <c:pt idx="0">
                  <c:v>3.89</c:v>
                </c:pt>
                <c:pt idx="1">
                  <c:v>3.79</c:v>
                </c:pt>
                <c:pt idx="2">
                  <c:v>3.59</c:v>
                </c:pt>
                <c:pt idx="3">
                  <c:v>3.39</c:v>
                </c:pt>
                <c:pt idx="4">
                  <c:v>3.19</c:v>
                </c:pt>
                <c:pt idx="5">
                  <c:v>2.99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B9A-4A76-B140-8E3772DDA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587087"/>
        <c:axId val="967588527"/>
      </c:scatterChart>
      <c:valAx>
        <c:axId val="967587087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588527"/>
        <c:crosses val="autoZero"/>
        <c:crossBetween val="midCat"/>
        <c:majorUnit val="50"/>
      </c:valAx>
      <c:valAx>
        <c:axId val="967588527"/>
        <c:scaling>
          <c:orientation val="minMax"/>
          <c:min val="2.98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587087"/>
        <c:crosses val="autoZero"/>
        <c:crossBetween val="midCat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449035</xdr:colOff>
      <xdr:row>10</xdr:row>
      <xdr:rowOff>337456</xdr:rowOff>
    </xdr:from>
    <xdr:to>
      <xdr:col>14</xdr:col>
      <xdr:colOff>948822</xdr:colOff>
      <xdr:row>20</xdr:row>
      <xdr:rowOff>95617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2DD549-0F32-BBAA-05AF-CD48E1BC3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544286</xdr:colOff>
      <xdr:row>23</xdr:row>
      <xdr:rowOff>786490</xdr:rowOff>
    </xdr:from>
    <xdr:to>
      <xdr:col>13</xdr:col>
      <xdr:colOff>1088571</xdr:colOff>
      <xdr:row>33</xdr:row>
      <xdr:rowOff>191236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F73310-1B80-252D-1A19-349A1F8F9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129E-5E60-4E88-9219-DE1D91664FBE}">
  <dimension ref="B3:J42"/>
  <sheetViews>
    <sheetView tabSelected="1" topLeftCell="B3" zoomScale="73" zoomScaleNormal="73" workbookViewId="0">
      <selection activeCell="I9" sqref="I9"/>
    </sheetView>
  </sheetViews>
  <sheetFormatPr defaultRowHeight="31.5" x14ac:dyDescent="0.5"/>
  <cols>
    <col min="2" max="2" width="16.875" customWidth="1"/>
    <col min="4" max="4" width="20.5625" customWidth="1"/>
    <col min="6" max="6" width="21.9375" customWidth="1"/>
  </cols>
  <sheetData>
    <row r="3" spans="2:10" x14ac:dyDescent="0.5">
      <c r="B3" s="31" t="s">
        <v>0</v>
      </c>
      <c r="C3" s="32" t="s">
        <v>1</v>
      </c>
      <c r="D3" s="32" t="s">
        <v>2</v>
      </c>
    </row>
    <row r="4" spans="2:10" x14ac:dyDescent="0.5">
      <c r="B4" s="31"/>
      <c r="C4" s="32"/>
      <c r="D4" s="32"/>
      <c r="G4" t="s">
        <v>11</v>
      </c>
      <c r="I4" s="9">
        <f>3.89</f>
        <v>3.89</v>
      </c>
    </row>
    <row r="5" spans="2:10" x14ac:dyDescent="0.5">
      <c r="B5" s="33" t="s">
        <v>3</v>
      </c>
      <c r="C5" s="34">
        <v>1.1539999999999999</v>
      </c>
      <c r="D5" s="35">
        <v>0.5</v>
      </c>
      <c r="F5" t="s">
        <v>8</v>
      </c>
      <c r="G5" t="s">
        <v>12</v>
      </c>
      <c r="I5" s="9">
        <v>2.99</v>
      </c>
    </row>
    <row r="6" spans="2:10" x14ac:dyDescent="0.5">
      <c r="B6" s="33"/>
      <c r="C6" s="34"/>
      <c r="D6" s="35"/>
      <c r="G6" t="s">
        <v>13</v>
      </c>
      <c r="I6">
        <v>2.5499999999999998</v>
      </c>
    </row>
    <row r="7" spans="2:10" x14ac:dyDescent="0.5">
      <c r="B7" s="33" t="s">
        <v>4</v>
      </c>
      <c r="C7" s="36">
        <v>1.6919999999999999</v>
      </c>
      <c r="D7" s="35">
        <v>0.2</v>
      </c>
      <c r="G7" t="s">
        <v>16</v>
      </c>
      <c r="I7">
        <v>1000</v>
      </c>
    </row>
    <row r="8" spans="2:10" x14ac:dyDescent="0.5">
      <c r="B8" s="33"/>
      <c r="C8" s="36"/>
      <c r="D8" s="35"/>
      <c r="G8" t="s">
        <v>26</v>
      </c>
      <c r="I8">
        <v>-2</v>
      </c>
      <c r="J8" s="24" t="s">
        <v>33</v>
      </c>
    </row>
    <row r="9" spans="2:10" x14ac:dyDescent="0.5">
      <c r="B9" s="33" t="s">
        <v>5</v>
      </c>
      <c r="C9" s="36">
        <v>1.1140000000000001</v>
      </c>
      <c r="D9" s="35">
        <v>0.33</v>
      </c>
    </row>
    <row r="10" spans="2:10" x14ac:dyDescent="0.5">
      <c r="B10" s="33"/>
      <c r="C10" s="36"/>
      <c r="D10" s="35"/>
      <c r="G10" t="s">
        <v>31</v>
      </c>
    </row>
    <row r="11" spans="2:10" x14ac:dyDescent="0.5">
      <c r="B11" s="10" t="s">
        <v>8</v>
      </c>
      <c r="C11" s="12"/>
      <c r="D11" s="12"/>
    </row>
    <row r="12" spans="2:10" ht="37.5" x14ac:dyDescent="0.5">
      <c r="B12" s="13" t="s">
        <v>7</v>
      </c>
      <c r="C12" s="12" t="s">
        <v>6</v>
      </c>
      <c r="D12" s="11">
        <v>0.4</v>
      </c>
      <c r="G12" s="8" t="s">
        <v>15</v>
      </c>
      <c r="H12" s="8" t="s">
        <v>20</v>
      </c>
    </row>
    <row r="13" spans="2:10" x14ac:dyDescent="0.5">
      <c r="B13" s="13"/>
      <c r="C13" s="12"/>
      <c r="D13" s="11"/>
      <c r="G13" s="8"/>
      <c r="H13" s="8"/>
    </row>
    <row r="14" spans="2:10" x14ac:dyDescent="0.5">
      <c r="B14" s="13" t="s">
        <v>22</v>
      </c>
      <c r="C14" s="12">
        <v>0.2</v>
      </c>
      <c r="D14" s="11"/>
      <c r="G14" s="8"/>
      <c r="H14" s="8"/>
    </row>
    <row r="15" spans="2:10" x14ac:dyDescent="0.5">
      <c r="B15" s="14"/>
      <c r="C15" s="14"/>
      <c r="D15" s="14"/>
      <c r="G15">
        <v>3.89</v>
      </c>
      <c r="H15" s="7">
        <f>1000*(1+(($I$4-G15)/($C$18+G15-$I$6)))</f>
        <v>1000</v>
      </c>
    </row>
    <row r="16" spans="2:10" ht="59.25" x14ac:dyDescent="0.5">
      <c r="B16" s="15" t="s">
        <v>23</v>
      </c>
      <c r="C16" s="16">
        <f>SUMPRODUCT(C5:C12,D5:D12)</f>
        <v>1.28302</v>
      </c>
      <c r="D16" s="14"/>
      <c r="G16">
        <v>3.79</v>
      </c>
      <c r="H16" s="7">
        <f>1000*(1+(($I$4-G16)/($C$18+G16-$I$6)))</f>
        <v>1043.0474124200396</v>
      </c>
    </row>
    <row r="17" spans="2:9" x14ac:dyDescent="0.5">
      <c r="B17" s="15"/>
      <c r="C17" s="16"/>
      <c r="D17" s="14"/>
      <c r="G17">
        <v>3.59</v>
      </c>
      <c r="H17" s="7">
        <f t="shared" ref="H17:H20" si="0">1000*(1+(($I$4-G17)/($C$18+G17-$I$6)))</f>
        <v>1141.3081365225012</v>
      </c>
    </row>
    <row r="18" spans="2:9" ht="44.25" customHeight="1" x14ac:dyDescent="0.5">
      <c r="B18" s="29" t="s">
        <v>24</v>
      </c>
      <c r="C18" s="16">
        <f>C16-C14</f>
        <v>1.0830200000000001</v>
      </c>
      <c r="D18" s="14"/>
      <c r="G18">
        <v>3.39</v>
      </c>
      <c r="H18" s="7">
        <f t="shared" si="0"/>
        <v>1260.0076962278083</v>
      </c>
    </row>
    <row r="19" spans="2:9" x14ac:dyDescent="0.5">
      <c r="G19">
        <v>3.19</v>
      </c>
      <c r="H19" s="7">
        <f t="shared" si="0"/>
        <v>1406.2634212023077</v>
      </c>
    </row>
    <row r="20" spans="2:9" ht="65.25" x14ac:dyDescent="0.5">
      <c r="B20" s="4" t="s">
        <v>18</v>
      </c>
      <c r="C20" s="5">
        <f>C18+(I5-I6)</f>
        <v>1.5230200000000005</v>
      </c>
      <c r="D20" s="23" t="s">
        <v>21</v>
      </c>
      <c r="G20">
        <v>2.99</v>
      </c>
      <c r="H20" s="7">
        <f t="shared" si="0"/>
        <v>1590.9311762156763</v>
      </c>
    </row>
    <row r="21" spans="2:9" x14ac:dyDescent="0.5">
      <c r="E21" s="22"/>
      <c r="F21" s="21"/>
    </row>
    <row r="22" spans="2:9" ht="87.95" customHeight="1" x14ac:dyDescent="0.5">
      <c r="E22" s="21"/>
      <c r="F22" s="21"/>
    </row>
    <row r="23" spans="2:9" ht="94.5" x14ac:dyDescent="0.5">
      <c r="B23" s="2" t="s">
        <v>9</v>
      </c>
      <c r="C23" s="3">
        <f>I4-I5</f>
        <v>0.89999999999999991</v>
      </c>
      <c r="D23" s="21" t="s">
        <v>29</v>
      </c>
      <c r="E23" s="21"/>
      <c r="F23" s="21"/>
      <c r="G23" s="20" t="s">
        <v>30</v>
      </c>
      <c r="H23" s="7"/>
    </row>
    <row r="24" spans="2:9" ht="63" x14ac:dyDescent="0.5">
      <c r="C24" s="18"/>
      <c r="D24" s="1" t="s">
        <v>8</v>
      </c>
      <c r="G24" t="s">
        <v>15</v>
      </c>
      <c r="H24" s="20" t="s">
        <v>28</v>
      </c>
      <c r="I24" s="20" t="s">
        <v>20</v>
      </c>
    </row>
    <row r="25" spans="2:9" ht="79.5" customHeight="1" x14ac:dyDescent="0.5">
      <c r="B25" s="28" t="s">
        <v>10</v>
      </c>
      <c r="C25" s="6">
        <f>C23/C20</f>
        <v>0.59093117621567648</v>
      </c>
      <c r="E25" s="1" t="s">
        <v>8</v>
      </c>
      <c r="G25" s="9">
        <v>3.89</v>
      </c>
      <c r="H25" s="25">
        <v>1000</v>
      </c>
      <c r="I25" s="30">
        <f>H15</f>
        <v>1000</v>
      </c>
    </row>
    <row r="26" spans="2:9" ht="42.75" customHeight="1" x14ac:dyDescent="0.5">
      <c r="B26" s="24"/>
      <c r="C26" s="17"/>
      <c r="E26" s="1" t="s">
        <v>8</v>
      </c>
      <c r="G26" s="9">
        <v>3.79</v>
      </c>
      <c r="H26" s="25">
        <f>($I$8)*((G26-$G$25)/$G$25)*$H$15+$H$15</f>
        <v>1051.4138817480721</v>
      </c>
      <c r="I26" s="30">
        <f>H16</f>
        <v>1043.0474124200396</v>
      </c>
    </row>
    <row r="27" spans="2:9" ht="63" customHeight="1" x14ac:dyDescent="0.5">
      <c r="B27" s="27" t="s">
        <v>14</v>
      </c>
      <c r="C27" s="19">
        <f>C25*100</f>
        <v>59.09311762156765</v>
      </c>
      <c r="E27" s="1" t="s">
        <v>25</v>
      </c>
      <c r="G27" s="9">
        <v>3.59</v>
      </c>
      <c r="H27" s="25">
        <f t="shared" ref="H27:H30" si="1">($I$8)*((G27-$G$25)/$G$25)*$H$15+$H$15</f>
        <v>1154.241645244216</v>
      </c>
      <c r="I27" s="30">
        <f>H17</f>
        <v>1141.3081365225012</v>
      </c>
    </row>
    <row r="28" spans="2:9" x14ac:dyDescent="0.5">
      <c r="E28" s="1" t="s">
        <v>8</v>
      </c>
      <c r="G28" s="9">
        <v>3.39</v>
      </c>
      <c r="H28" s="25">
        <f t="shared" si="1"/>
        <v>1257.0694087403599</v>
      </c>
      <c r="I28" s="30">
        <f t="shared" ref="I28:I30" si="2">H18</f>
        <v>1260.0076962278083</v>
      </c>
    </row>
    <row r="29" spans="2:9" x14ac:dyDescent="0.5">
      <c r="B29" s="1" t="s">
        <v>8</v>
      </c>
      <c r="C29" s="1" t="s">
        <v>8</v>
      </c>
      <c r="E29" s="1" t="s">
        <v>8</v>
      </c>
      <c r="G29" s="9">
        <v>3.19</v>
      </c>
      <c r="H29" s="25">
        <f t="shared" si="1"/>
        <v>1359.897172236504</v>
      </c>
      <c r="I29" s="30">
        <f t="shared" si="2"/>
        <v>1406.2634212023077</v>
      </c>
    </row>
    <row r="30" spans="2:9" x14ac:dyDescent="0.5">
      <c r="E30" s="1" t="s">
        <v>25</v>
      </c>
      <c r="G30" s="9">
        <v>2.99</v>
      </c>
      <c r="H30" s="25">
        <f t="shared" si="1"/>
        <v>1462.7249357326477</v>
      </c>
      <c r="I30" s="30">
        <f t="shared" si="2"/>
        <v>1590.9311762156763</v>
      </c>
    </row>
    <row r="31" spans="2:9" x14ac:dyDescent="0.5">
      <c r="B31" t="s">
        <v>8</v>
      </c>
      <c r="C31" t="s">
        <v>8</v>
      </c>
    </row>
    <row r="32" spans="2:9" x14ac:dyDescent="0.5">
      <c r="B32" t="s">
        <v>19</v>
      </c>
    </row>
    <row r="34" spans="2:7" x14ac:dyDescent="0.5">
      <c r="B34" t="s">
        <v>17</v>
      </c>
      <c r="C34" s="1"/>
      <c r="G34" s="26">
        <f>I7*(I4-I6)</f>
        <v>1340.0000000000002</v>
      </c>
    </row>
    <row r="35" spans="2:7" x14ac:dyDescent="0.5">
      <c r="B35" t="s">
        <v>27</v>
      </c>
      <c r="G35" s="26">
        <f>1000*(1+C25)*(I5-I6)+C18*(C25)*1000</f>
        <v>1340.0000000000005</v>
      </c>
    </row>
    <row r="42" spans="2:7" x14ac:dyDescent="0.5">
      <c r="D42" t="s">
        <v>32</v>
      </c>
    </row>
  </sheetData>
  <mergeCells count="12">
    <mergeCell ref="B7:B8"/>
    <mergeCell ref="C7:C8"/>
    <mergeCell ref="D7:D8"/>
    <mergeCell ref="B9:B10"/>
    <mergeCell ref="C9:C10"/>
    <mergeCell ref="D9:D10"/>
    <mergeCell ref="B3:B4"/>
    <mergeCell ref="C3:C4"/>
    <mergeCell ref="D3:D4"/>
    <mergeCell ref="B5:B6"/>
    <mergeCell ref="C5:C6"/>
    <mergeCell ref="D5:D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</dc:creator>
  <cp:lastModifiedBy>Kaur, Manvir</cp:lastModifiedBy>
  <dcterms:created xsi:type="dcterms:W3CDTF">2023-08-25T01:24:08Z</dcterms:created>
  <dcterms:modified xsi:type="dcterms:W3CDTF">2025-09-12T03:47:23Z</dcterms:modified>
</cp:coreProperties>
</file>