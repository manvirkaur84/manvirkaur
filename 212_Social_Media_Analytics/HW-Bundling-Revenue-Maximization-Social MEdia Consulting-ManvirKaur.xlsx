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Manvir Kaur\Documents\"/>
    </mc:Choice>
  </mc:AlternateContent>
  <xr:revisionPtr revIDLastSave="0" documentId="13_ncr:1_{AEF47DD1-6B64-4D1C-9EB4-3F173F254D7B}" xr6:coauthVersionLast="47" xr6:coauthVersionMax="47" xr10:uidLastSave="{00000000-0000-0000-0000-000000000000}"/>
  <bookViews>
    <workbookView xWindow="735" yWindow="1290" windowWidth="31395" windowHeight="20295" xr2:uid="{00000000-000D-0000-FFFF-FFFF00000000}"/>
  </bookViews>
  <sheets>
    <sheet name="Social Media" sheetId="2" r:id="rId1"/>
    <sheet name="Separate Pricing" sheetId="3" r:id="rId2"/>
    <sheet name="Pure Bundling" sheetId="5" r:id="rId3"/>
    <sheet name="Mixed Bundling" sheetId="7" r:id="rId4"/>
  </sheets>
  <definedNames>
    <definedName name="solver_adj" localSheetId="3" hidden="1">'Mixed Bundling'!$G$17:$I$17</definedName>
    <definedName name="solver_adj" localSheetId="2" hidden="1">'Pure Bundling'!$D$20</definedName>
    <definedName name="solver_adj" localSheetId="1" hidden="1">'Separate Pricing'!$D$20:$E$20</definedName>
    <definedName name="solver_adj" localSheetId="0" hidden="1">'Social Media'!$C$9:$E$9</definedName>
    <definedName name="solver_cvg" localSheetId="3" hidden="1">0.0001</definedName>
    <definedName name="solver_cvg" localSheetId="2" hidden="1">0.0001</definedName>
    <definedName name="solver_cvg" localSheetId="1" hidden="1">0.0001</definedName>
    <definedName name="solver_drv" localSheetId="3" hidden="1">1</definedName>
    <definedName name="solver_drv" localSheetId="2" hidden="1">1</definedName>
    <definedName name="solver_drv" localSheetId="1" hidden="1">1</definedName>
    <definedName name="solver_eng" localSheetId="3" hidden="1">3</definedName>
    <definedName name="solver_eng" localSheetId="2" hidden="1">3</definedName>
    <definedName name="solver_eng" localSheetId="1" hidden="1">3</definedName>
    <definedName name="solver_eng" localSheetId="0" hidden="1">1</definedName>
    <definedName name="solver_est" localSheetId="3" hidden="1">1</definedName>
    <definedName name="solver_est" localSheetId="2" hidden="1">1</definedName>
    <definedName name="solver_est" localSheetId="1" hidden="1">1</definedName>
    <definedName name="solver_itr" localSheetId="3" hidden="1">2147483647</definedName>
    <definedName name="solver_itr" localSheetId="2" hidden="1">2147483647</definedName>
    <definedName name="solver_itr" localSheetId="1" hidden="1">2147483647</definedName>
    <definedName name="solver_lhs0" localSheetId="1" hidden="1">'Separate Pricing'!$E$20</definedName>
    <definedName name="solver_lhs1" localSheetId="3" hidden="1">'Mixed Bundling'!$G$17</definedName>
    <definedName name="solver_lhs1" localSheetId="2" hidden="1">'Pure Bundling'!$D$20</definedName>
    <definedName name="solver_lhs1" localSheetId="1" hidden="1">'Separate Pricing'!$D$20</definedName>
    <definedName name="solver_lhs2" localSheetId="3" hidden="1">'Mixed Bundling'!$H$17</definedName>
    <definedName name="solver_lhs2" localSheetId="2" hidden="1">'Pure Bundling'!#REF!</definedName>
    <definedName name="solver_lhs2" localSheetId="1" hidden="1">'Separate Pricing'!$E$20</definedName>
    <definedName name="solver_lhs3" localSheetId="3" hidden="1">'Mixed Bundling'!$I$17</definedName>
    <definedName name="solver_lhs3" localSheetId="2" hidden="1">'Pure Bundling'!#REF!</definedName>
    <definedName name="solver_lhs3" localSheetId="1" hidden="1">'Separate Pricing'!$E$20</definedName>
    <definedName name="solver_lhs4" localSheetId="3" hidden="1">'Mixed Bundling'!$I$17</definedName>
    <definedName name="solver_lhs4" localSheetId="2" hidden="1">'Pure Bundling'!#REF!</definedName>
    <definedName name="solver_lhs4" localSheetId="1" hidden="1">'Separate Pricing'!$E$20</definedName>
    <definedName name="solver_lhs5" localSheetId="3" hidden="1">'Mixed Bundling'!$H$17</definedName>
    <definedName name="solver_lhs5" localSheetId="2" hidden="1">'Pure Bundling'!#REF!</definedName>
    <definedName name="solver_lhs5" localSheetId="1" hidden="1">'Separate Pricing'!$E$20</definedName>
    <definedName name="solver_mip" localSheetId="3" hidden="1">2147483647</definedName>
    <definedName name="solver_mip" localSheetId="2" hidden="1">2147483647</definedName>
    <definedName name="solver_mip" localSheetId="1" hidden="1">2147483647</definedName>
    <definedName name="solver_mni" localSheetId="3" hidden="1">30</definedName>
    <definedName name="solver_mni" localSheetId="2" hidden="1">30</definedName>
    <definedName name="solver_mni" localSheetId="1" hidden="1">30</definedName>
    <definedName name="solver_mrt" localSheetId="3" hidden="1">0.5</definedName>
    <definedName name="solver_mrt" localSheetId="2" hidden="1">0.5</definedName>
    <definedName name="solver_mrt" localSheetId="1" hidden="1">0.5</definedName>
    <definedName name="solver_msl" localSheetId="3" hidden="1">2</definedName>
    <definedName name="solver_msl" localSheetId="2" hidden="1">2</definedName>
    <definedName name="solver_msl" localSheetId="1" hidden="1">2</definedName>
    <definedName name="solver_neg" localSheetId="3" hidden="1">1</definedName>
    <definedName name="solver_neg" localSheetId="2" hidden="1">1</definedName>
    <definedName name="solver_neg" localSheetId="1" hidden="1">1</definedName>
    <definedName name="solver_neg" localSheetId="0" hidden="1">1</definedName>
    <definedName name="solver_nod" localSheetId="3" hidden="1">2147483647</definedName>
    <definedName name="solver_nod" localSheetId="2" hidden="1">2147483647</definedName>
    <definedName name="solver_nod" localSheetId="1" hidden="1">2147483647</definedName>
    <definedName name="solver_num" localSheetId="3" hidden="1">3</definedName>
    <definedName name="solver_num" localSheetId="2" hidden="1">1</definedName>
    <definedName name="solver_num" localSheetId="1" hidden="1">2</definedName>
    <definedName name="solver_num" localSheetId="0" hidden="1">0</definedName>
    <definedName name="solver_nwt" localSheetId="3" hidden="1">1</definedName>
    <definedName name="solver_nwt" localSheetId="2" hidden="1">1</definedName>
    <definedName name="solver_nwt" localSheetId="1" hidden="1">1</definedName>
    <definedName name="solver_opt" localSheetId="3" hidden="1">'Mixed Bundling'!$H$20</definedName>
    <definedName name="solver_opt" localSheetId="2" hidden="1">'Pure Bundling'!$F$23</definedName>
    <definedName name="solver_opt" localSheetId="1" hidden="1">'Separate Pricing'!$E$23</definedName>
    <definedName name="solver_opt" localSheetId="0" hidden="1">'Social Media'!$F$10</definedName>
    <definedName name="solver_pre" localSheetId="3" hidden="1">0.000001</definedName>
    <definedName name="solver_pre" localSheetId="2" hidden="1">0.000001</definedName>
    <definedName name="solver_pre" localSheetId="1" hidden="1">0.000001</definedName>
    <definedName name="solver_rbv" localSheetId="3" hidden="1">1</definedName>
    <definedName name="solver_rbv" localSheetId="2" hidden="1">1</definedName>
    <definedName name="solver_rbv" localSheetId="1" hidden="1">1</definedName>
    <definedName name="solver_rel0" localSheetId="1" hidden="1">3</definedName>
    <definedName name="solver_rel1" localSheetId="3" hidden="1">1</definedName>
    <definedName name="solver_rel1" localSheetId="2" hidden="1">1</definedName>
    <definedName name="solver_rel1" localSheetId="1" hidden="1">1</definedName>
    <definedName name="solver_rel2" localSheetId="3" hidden="1">1</definedName>
    <definedName name="solver_rel2" localSheetId="2" hidden="1">4</definedName>
    <definedName name="solver_rel2" localSheetId="1" hidden="1">1</definedName>
    <definedName name="solver_rel3" localSheetId="3" hidden="1">1</definedName>
    <definedName name="solver_rel3" localSheetId="2" hidden="1">1</definedName>
    <definedName name="solver_rel3" localSheetId="1" hidden="1">3</definedName>
    <definedName name="solver_rel4" localSheetId="3" hidden="1">3</definedName>
    <definedName name="solver_rel4" localSheetId="2" hidden="1">1</definedName>
    <definedName name="solver_rel4" localSheetId="1" hidden="1">3</definedName>
    <definedName name="solver_rel5" localSheetId="3" hidden="1">1</definedName>
    <definedName name="solver_rel5" localSheetId="2" hidden="1">1</definedName>
    <definedName name="solver_rel5" localSheetId="1" hidden="1">1</definedName>
    <definedName name="solver_rhs0" localSheetId="1" hidden="1">'Separate Pricing'!$E$19</definedName>
    <definedName name="solver_rhs1" localSheetId="3" hidden="1">35</definedName>
    <definedName name="solver_rhs1" localSheetId="2" hidden="1">50</definedName>
    <definedName name="solver_rhs1" localSheetId="1" hidden="1">35</definedName>
    <definedName name="solver_rhs2" localSheetId="3" hidden="1">35</definedName>
    <definedName name="solver_rhs2" localSheetId="2" hidden="1">"integer"</definedName>
    <definedName name="solver_rhs2" localSheetId="1" hidden="1">35</definedName>
    <definedName name="solver_rhs3" localSheetId="3" hidden="1">50</definedName>
    <definedName name="solver_rhs3" localSheetId="2" hidden="1">90</definedName>
    <definedName name="solver_rhs3" localSheetId="1" hidden="1">'Separate Pricing'!$E$19</definedName>
    <definedName name="solver_rhs4" localSheetId="3" hidden="1">'Mixed Bundling'!$I$16</definedName>
    <definedName name="solver_rhs4" localSheetId="2" hidden="1">130</definedName>
    <definedName name="solver_rhs4" localSheetId="1" hidden="1">'Separate Pricing'!$E$19</definedName>
    <definedName name="solver_rhs5" localSheetId="3" hidden="1">90</definedName>
    <definedName name="solver_rhs5" localSheetId="2" hidden="1">90</definedName>
    <definedName name="solver_rhs5" localSheetId="1" hidden="1">90</definedName>
    <definedName name="solver_rlx" localSheetId="3" hidden="1">2</definedName>
    <definedName name="solver_rlx" localSheetId="2" hidden="1">2</definedName>
    <definedName name="solver_rlx" localSheetId="1" hidden="1">2</definedName>
    <definedName name="solver_rsd" localSheetId="3" hidden="1">0</definedName>
    <definedName name="solver_rsd" localSheetId="2" hidden="1">0</definedName>
    <definedName name="solver_rsd" localSheetId="1" hidden="1">0</definedName>
    <definedName name="solver_scl" localSheetId="3" hidden="1">1</definedName>
    <definedName name="solver_scl" localSheetId="2" hidden="1">1</definedName>
    <definedName name="solver_scl" localSheetId="1" hidden="1">1</definedName>
    <definedName name="solver_sho" localSheetId="3" hidden="1">2</definedName>
    <definedName name="solver_sho" localSheetId="2" hidden="1">2</definedName>
    <definedName name="solver_sho" localSheetId="1" hidden="1">2</definedName>
    <definedName name="solver_ssz" localSheetId="3" hidden="1">100</definedName>
    <definedName name="solver_ssz" localSheetId="2" hidden="1">100</definedName>
    <definedName name="solver_ssz" localSheetId="1" hidden="1">100</definedName>
    <definedName name="solver_tim" localSheetId="3" hidden="1">2147483647</definedName>
    <definedName name="solver_tim" localSheetId="2" hidden="1">2147483647</definedName>
    <definedName name="solver_tim" localSheetId="1" hidden="1">2147483647</definedName>
    <definedName name="solver_tol" localSheetId="3" hidden="1">0.01</definedName>
    <definedName name="solver_tol" localSheetId="2" hidden="1">0.01</definedName>
    <definedName name="solver_tol" localSheetId="1" hidden="1">0.01</definedName>
    <definedName name="solver_typ" localSheetId="3" hidden="1">1</definedName>
    <definedName name="solver_typ" localSheetId="2" hidden="1">1</definedName>
    <definedName name="solver_typ" localSheetId="1" hidden="1">1</definedName>
    <definedName name="solver_typ" localSheetId="0" hidden="1">1</definedName>
    <definedName name="solver_val" localSheetId="3" hidden="1">0</definedName>
    <definedName name="solver_val" localSheetId="2" hidden="1">0</definedName>
    <definedName name="solver_val" localSheetId="1" hidden="1">0</definedName>
    <definedName name="solver_val" localSheetId="0" hidden="1">0</definedName>
    <definedName name="solver_ver" localSheetId="3" hidden="1">3</definedName>
    <definedName name="solver_ver" localSheetId="2" hidden="1">3</definedName>
    <definedName name="solver_ver" localSheetId="1" hidden="1">3</definedName>
    <definedName name="solver_ver" localSheetId="0" hidden="1">3</definedName>
  </definedNames>
  <calcPr calcId="191029"/>
</workbook>
</file>

<file path=xl/calcChain.xml><?xml version="1.0" encoding="utf-8"?>
<calcChain xmlns="http://schemas.openxmlformats.org/spreadsheetml/2006/main">
  <c r="M8" i="7" l="1"/>
  <c r="K8" i="7"/>
  <c r="I18" i="7"/>
  <c r="E10" i="2" l="1"/>
  <c r="C10" i="2" l="1"/>
  <c r="L8" i="7"/>
  <c r="K9" i="7"/>
  <c r="L9" i="7"/>
  <c r="M9" i="7"/>
  <c r="K10" i="7"/>
  <c r="L10" i="7"/>
  <c r="M10" i="7"/>
  <c r="G18" i="7"/>
  <c r="H18" i="7"/>
  <c r="N10" i="7" l="1"/>
  <c r="O10" i="7" s="1"/>
  <c r="T10" i="7" s="1"/>
  <c r="U10" i="7" s="1"/>
  <c r="N8" i="7"/>
  <c r="N9" i="7"/>
  <c r="F11" i="5"/>
  <c r="D21" i="5"/>
  <c r="F13" i="5"/>
  <c r="F12" i="5"/>
  <c r="D21" i="3"/>
  <c r="G13" i="5" l="1"/>
  <c r="H13" i="5" s="1"/>
  <c r="O8" i="7"/>
  <c r="T8" i="7" s="1"/>
  <c r="G11" i="5"/>
  <c r="H11" i="5" s="1"/>
  <c r="O9" i="7"/>
  <c r="G12" i="5"/>
  <c r="H12" i="5" s="1"/>
  <c r="E21" i="3"/>
  <c r="H13" i="3"/>
  <c r="H11" i="3"/>
  <c r="H12" i="3"/>
  <c r="G13" i="3"/>
  <c r="G12" i="3"/>
  <c r="G11" i="3"/>
  <c r="U8" i="7" l="1"/>
  <c r="I11" i="3"/>
  <c r="J11" i="3" s="1"/>
  <c r="L11" i="3" s="1"/>
  <c r="F23" i="5"/>
  <c r="T9" i="7"/>
  <c r="U9" i="7" s="1"/>
  <c r="H14" i="5"/>
  <c r="G14" i="5"/>
  <c r="I13" i="3"/>
  <c r="J13" i="3" s="1"/>
  <c r="L13" i="3" s="1"/>
  <c r="I12" i="3"/>
  <c r="J12" i="3" s="1"/>
  <c r="L12" i="3" s="1"/>
  <c r="D10" i="2"/>
  <c r="H20" i="7" l="1"/>
  <c r="E23" i="3"/>
  <c r="U12" i="7"/>
  <c r="T12" i="7"/>
  <c r="M11" i="3"/>
  <c r="M13" i="3"/>
  <c r="M12" i="3"/>
  <c r="M15" i="3" l="1"/>
  <c r="L15" i="3"/>
</calcChain>
</file>

<file path=xl/sharedStrings.xml><?xml version="1.0" encoding="utf-8"?>
<sst xmlns="http://schemas.openxmlformats.org/spreadsheetml/2006/main" count="161" uniqueCount="91">
  <si>
    <t>Price</t>
  </si>
  <si>
    <t xml:space="preserve"> </t>
  </si>
  <si>
    <t>Product</t>
  </si>
  <si>
    <t>Content Creation</t>
  </si>
  <si>
    <t>Ad Campaigns</t>
  </si>
  <si>
    <t>Content +Ad</t>
  </si>
  <si>
    <t>Cost</t>
  </si>
  <si>
    <t>Unit profit</t>
  </si>
  <si>
    <t>Segment Valuation</t>
  </si>
  <si>
    <t>Segment</t>
  </si>
  <si>
    <t>Homework A — Pricing &amp; Bundling for a Social Media Consulting</t>
  </si>
  <si>
    <t xml:space="preserve">Firm </t>
  </si>
  <si>
    <t xml:space="preserve">Note: All work should be done on this Excel file and use Solver for any decisions arrived at. </t>
  </si>
  <si>
    <t xml:space="preserve">The Excel file should clearly show how you arrived at the answers. </t>
  </si>
  <si>
    <t>Important Note: Read the directions carefully on the Handout.</t>
  </si>
  <si>
    <t>Refer to page 20-22 of the Handout " MSBA212_Revenue_Management" for the tasks related to this HW assignment.</t>
  </si>
  <si>
    <t>Segment Size (# of customers in the particular group)</t>
  </si>
  <si>
    <t>Ad Campaigns (WTP B)</t>
  </si>
  <si>
    <t>Content Creation (WTP A)</t>
  </si>
  <si>
    <t>Content + Ad = WTP = A + B</t>
  </si>
  <si>
    <t>Bundle</t>
  </si>
  <si>
    <t>Total Profit/Revenue</t>
  </si>
  <si>
    <t>Revenue</t>
  </si>
  <si>
    <t>Marginal cost</t>
  </si>
  <si>
    <t>Product #</t>
  </si>
  <si>
    <t>Assume 4 customers with each segment having 1 customer.</t>
  </si>
  <si>
    <t xml:space="preserve">Customer Group    </t>
  </si>
  <si>
    <t xml:space="preserve">Profits </t>
  </si>
  <si>
    <t>Product that is bought( if surplus is greater than zero), otherwise 0</t>
  </si>
  <si>
    <t>Max surplus product</t>
  </si>
  <si>
    <t>Consumer Surplus</t>
  </si>
  <si>
    <t>Consumer Value for product options</t>
  </si>
  <si>
    <t>(20, 15)</t>
  </si>
  <si>
    <t>min of A, min of B</t>
  </si>
  <si>
    <t>max of A, max of B</t>
  </si>
  <si>
    <t xml:space="preserve">(35,35) </t>
  </si>
  <si>
    <t>med of A, med of B</t>
  </si>
  <si>
    <t>(30,20)</t>
  </si>
  <si>
    <t>avg of A, avg of B</t>
  </si>
  <si>
    <t>(28,23)</t>
  </si>
  <si>
    <t>min of A, max of B</t>
  </si>
  <si>
    <t>(20,35)</t>
  </si>
  <si>
    <t>max of A, min of B</t>
  </si>
  <si>
    <t>(35, 15)</t>
  </si>
  <si>
    <t>Surplus for Bundle</t>
  </si>
  <si>
    <t>Max value $  Cloud + AI Token  (bundle)</t>
  </si>
  <si>
    <t>Assume 3 segments with each segment having a different size.</t>
  </si>
  <si>
    <t>Bundle for Cloud and AI Token</t>
  </si>
  <si>
    <t>min of A, min of B, min of A+B</t>
  </si>
  <si>
    <t>(20, 15, 25)</t>
  </si>
  <si>
    <t>max of A, max of B, max of A+B</t>
  </si>
  <si>
    <t xml:space="preserve">(35,35,50) </t>
  </si>
  <si>
    <t>med of A, med of B, med of A+B</t>
  </si>
  <si>
    <t>(30, 20, 40)</t>
  </si>
  <si>
    <t>min of A, max of B, min of A+B</t>
  </si>
  <si>
    <t>max of A, min of B, max of A+B</t>
  </si>
  <si>
    <t>(20,35, 25)</t>
  </si>
  <si>
    <t>(35, 15, 50)</t>
  </si>
  <si>
    <t>med of A, max of B, med of A+B</t>
  </si>
  <si>
    <t>(35,20,40)</t>
  </si>
  <si>
    <t>med of A, max of B, max of A+B</t>
  </si>
  <si>
    <t>med of A, min of B, min of A+B</t>
  </si>
  <si>
    <t>(35,15,25)</t>
  </si>
  <si>
    <t>max of A, med of B, med of A+B</t>
  </si>
  <si>
    <t>min of A, med of B, med of A+B</t>
  </si>
  <si>
    <t>med of A, med of B, max of A+B</t>
  </si>
  <si>
    <t>(30,20,50)</t>
  </si>
  <si>
    <t>(30, 35, 40)</t>
  </si>
  <si>
    <t>(30,35,50)</t>
  </si>
  <si>
    <t>(20, 20, 40)</t>
  </si>
  <si>
    <t>max of A, med of B, max of A+B</t>
  </si>
  <si>
    <t>(35,20,50)</t>
  </si>
  <si>
    <t>max of A, med of B</t>
  </si>
  <si>
    <t>(35, 20)</t>
  </si>
  <si>
    <t>(35,20,39)</t>
  </si>
  <si>
    <t>surplus</t>
  </si>
  <si>
    <t>Answers:</t>
  </si>
  <si>
    <t xml:space="preserve">Maximum  $ value of Content Creation (WTP A) </t>
  </si>
  <si>
    <t>Maximum $ value of Ad Campaigns (WTP B)</t>
  </si>
  <si>
    <t>Surplus for Ad Campaigns (WTP B)</t>
  </si>
  <si>
    <t xml:space="preserve">Content Creation (WTP A) </t>
  </si>
  <si>
    <t xml:space="preserve">Surplus for Content Creation (WTP A) </t>
  </si>
  <si>
    <t xml:space="preserve">Maximum $ value of Ad Campaigns  (WTP B) </t>
  </si>
  <si>
    <t xml:space="preserve">Surplus for Ad Campaigns  (WTP B) </t>
  </si>
  <si>
    <t>Segment 1 values WTP B (Ad Campaign: $35) more than WTP A (Content Creation: $30). They are willing to pay $50 for both the content creation and ad campaigns. The bundle cost presented is less than the actual total cost of both content creation and ad campaign. For instance, the total of both WTP A + WTP B $30 + $35 = $65; however, the bundle option given is $50. So, segment 1 is probably best fit for mixed bundling.</t>
  </si>
  <si>
    <t xml:space="preserve">Mixed bundling delivers the highest profit of ~ $2100 and it beats the runner-up (separate pricing) of $1940 by $160. </t>
  </si>
  <si>
    <t>Segment 2 values WTP A (Content Creation: $35) more than WTP B (Ad Campaign: $30). They are willing to pay $40 for both the content creation and ad campaigns. The bundle cost presented is less than the total cost of both content creation and ad campaign. For instance, the total of both WTP A + WTP B $35 + $15 = $50; however, the bundle option given is $40. So, Segment 2 also sees that there is a benefit in buying the bundle. This segment doesn't rely on ads and is heavily focused on content creation. So, they are more on the separate pricing policy as they mostly want Content Creation by itself.</t>
  </si>
  <si>
    <t xml:space="preserve">Segment 3 values both WTP A (Content Creation: $20) and WTP B (Ad Campaign: $20) equally. They are willing to pay $25 for both the content creation and ad campaigns. The bundle cost presented is less than the total cost of both content creation and ad campaign. For instance, the total of both WTP A + WTP B $20 + $20 = $40; however, the bundle option given is $25. Both values of the content creation and ad campaign are quite low. Pure bundling seems a better fit because offering both of them at a lower price can attract them to buy the bundle. </t>
  </si>
  <si>
    <t>The correlation pattern between WTP A and WTP B is negative. When WTP A's product values more, WTP B's product values less. They both move in opposite directions. In separate pricing, customers can buy only A or B separately, and no bundle option. In a pure bundling policy, customers must buy the bundle to get anything, and there are no individual sales. In a mixed bundling policy, customers can choose A, B, or A+B as a bundle. Mixed bundling is the best fit because it matches each segment's best option and allows for the maximized profit, which is missed out by separate pricing and pure bundling policy.</t>
  </si>
  <si>
    <t>Purchase Patterns (Profit * Segment Size)</t>
  </si>
  <si>
    <t>*There is no solver set up on this tab. I created 3 different tabs for each policy, and a solver is set up on each one. Also, I have pasted the policy with the highest profit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</si>
</sst>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6" x14ac:knownFonts="1">
    <font>
      <sz val="11"/>
      <color theme="1"/>
      <name val="Calibri"/>
      <family val="2"/>
      <scheme val="minor"/>
    </font>
    <font>
      <b/>
      <sz val="11"/>
      <color theme="1"/>
      <name val="Calibri"/>
      <family val="2"/>
      <scheme val="minor"/>
    </font>
    <font>
      <sz val="10.5"/>
      <color rgb="FF3C3C3C"/>
      <name val="Roboto"/>
    </font>
    <font>
      <sz val="11"/>
      <color rgb="FF000000"/>
      <name val="Times New Roman"/>
      <family val="1"/>
    </font>
    <font>
      <sz val="11"/>
      <color rgb="FF000000"/>
      <name val="Arial"/>
      <family val="2"/>
    </font>
    <font>
      <sz val="11"/>
      <color theme="5"/>
      <name val="Times New Roman"/>
      <family val="1"/>
    </font>
  </fonts>
  <fills count="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2"/>
        <bgColor indexed="64"/>
      </patternFill>
    </fill>
  </fills>
  <borders count="5">
    <border>
      <left/>
      <right/>
      <top/>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0" fillId="3" borderId="1" xfId="0" applyFill="1" applyBorder="1"/>
    <xf numFmtId="8" fontId="3" fillId="3" borderId="1" xfId="0" applyNumberFormat="1" applyFont="1" applyFill="1" applyBorder="1" applyAlignment="1">
      <alignment horizontal="center" vertical="center"/>
    </xf>
    <xf numFmtId="0" fontId="4" fillId="3" borderId="0" xfId="0" applyFont="1" applyFill="1" applyAlignment="1">
      <alignment vertical="center" wrapText="1"/>
    </xf>
    <xf numFmtId="0" fontId="4" fillId="3" borderId="1" xfId="0" applyFont="1" applyFill="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horizontal="center" vertical="center" wrapText="1"/>
    </xf>
    <xf numFmtId="6"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horizontal="center"/>
    </xf>
    <xf numFmtId="8" fontId="3" fillId="2" borderId="1" xfId="0" applyNumberFormat="1" applyFont="1" applyFill="1" applyBorder="1" applyAlignment="1">
      <alignment horizontal="right" vertical="center"/>
    </xf>
    <xf numFmtId="0" fontId="1" fillId="4" borderId="0" xfId="0" applyFont="1" applyFill="1"/>
    <xf numFmtId="0" fontId="1" fillId="5" borderId="0" xfId="0" applyFont="1" applyFill="1"/>
    <xf numFmtId="0" fontId="1" fillId="2" borderId="0" xfId="0" applyFont="1" applyFill="1"/>
    <xf numFmtId="0" fontId="1" fillId="0" borderId="0" xfId="0" applyFont="1" applyAlignment="1">
      <alignment horizontal="center"/>
    </xf>
    <xf numFmtId="0" fontId="1" fillId="6" borderId="0" xfId="0" applyFont="1" applyFill="1"/>
    <xf numFmtId="0" fontId="1" fillId="0" borderId="0" xfId="0" applyFont="1" applyAlignment="1">
      <alignment wrapText="1"/>
    </xf>
    <xf numFmtId="0" fontId="1" fillId="6" borderId="0" xfId="0" applyFont="1" applyFill="1" applyAlignment="1">
      <alignment wrapText="1"/>
    </xf>
    <xf numFmtId="8" fontId="0" fillId="3" borderId="1" xfId="0" applyNumberFormat="1" applyFill="1" applyBorder="1"/>
    <xf numFmtId="0" fontId="1" fillId="0" borderId="0" xfId="0" applyFont="1" applyAlignment="1">
      <alignment horizontal="center" wrapText="1"/>
    </xf>
    <xf numFmtId="0" fontId="0" fillId="0" borderId="0" xfId="0"/>
    <xf numFmtId="0" fontId="4" fillId="3" borderId="4" xfId="0" applyFont="1" applyFill="1" applyBorder="1" applyAlignment="1">
      <alignment vertical="center" wrapText="1"/>
    </xf>
    <xf numFmtId="0" fontId="4" fillId="3" borderId="0" xfId="0" applyFont="1" applyFill="1" applyAlignment="1">
      <alignment vertical="center" wrapText="1"/>
    </xf>
    <xf numFmtId="0" fontId="4" fillId="3" borderId="1" xfId="0" applyFont="1" applyFill="1" applyBorder="1" applyAlignment="1">
      <alignment vertical="center" wrapText="1"/>
    </xf>
    <xf numFmtId="0" fontId="0" fillId="0" borderId="0" xfId="0" applyAlignment="1">
      <alignment wrapText="1"/>
    </xf>
    <xf numFmtId="0" fontId="1" fillId="0" borderId="0" xfId="0" applyFont="1" applyFill="1"/>
    <xf numFmtId="0" fontId="5" fillId="7"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FFF4-D03D-4EE9-9092-E0E0871610E9}">
  <dimension ref="B2:I25"/>
  <sheetViews>
    <sheetView tabSelected="1" workbookViewId="0">
      <selection activeCell="H9" sqref="H9"/>
    </sheetView>
  </sheetViews>
  <sheetFormatPr defaultRowHeight="15" x14ac:dyDescent="0.25"/>
  <cols>
    <col min="3" max="3" width="17.85546875" customWidth="1"/>
    <col min="4" max="4" width="15.85546875" customWidth="1"/>
    <col min="5" max="5" width="21.85546875" customWidth="1"/>
    <col min="6" max="6" width="16.85546875" customWidth="1"/>
    <col min="8" max="8" width="112.28515625" bestFit="1" customWidth="1"/>
    <col min="12" max="12" width="90.42578125" customWidth="1"/>
  </cols>
  <sheetData>
    <row r="2" spans="2:9" x14ac:dyDescent="0.25">
      <c r="B2" s="1" t="s">
        <v>10</v>
      </c>
    </row>
    <row r="3" spans="2:9" x14ac:dyDescent="0.25">
      <c r="B3" s="1" t="s">
        <v>11</v>
      </c>
    </row>
    <row r="5" spans="2:9" x14ac:dyDescent="0.25">
      <c r="B5" s="2"/>
      <c r="I5" t="s">
        <v>1</v>
      </c>
    </row>
    <row r="6" spans="2:9" x14ac:dyDescent="0.25">
      <c r="B6" s="25"/>
      <c r="C6" s="25"/>
      <c r="E6" s="14" t="s">
        <v>20</v>
      </c>
      <c r="I6" t="s">
        <v>1</v>
      </c>
    </row>
    <row r="7" spans="2:9" ht="15.75" thickBot="1" x14ac:dyDescent="0.3">
      <c r="B7" s="3" t="s">
        <v>2</v>
      </c>
      <c r="C7" s="4" t="s">
        <v>3</v>
      </c>
      <c r="D7" s="4" t="s">
        <v>4</v>
      </c>
      <c r="E7" s="4" t="s">
        <v>5</v>
      </c>
      <c r="F7" s="5"/>
    </row>
    <row r="8" spans="2:9" ht="15.75" thickBot="1" x14ac:dyDescent="0.3">
      <c r="B8" s="3" t="s">
        <v>6</v>
      </c>
      <c r="C8" s="6">
        <v>15</v>
      </c>
      <c r="D8" s="6">
        <v>1</v>
      </c>
      <c r="E8" s="6">
        <v>16</v>
      </c>
      <c r="F8" s="5"/>
      <c r="G8" t="s">
        <v>15</v>
      </c>
    </row>
    <row r="9" spans="2:9" ht="15.75" thickBot="1" x14ac:dyDescent="0.3">
      <c r="B9" s="3" t="s">
        <v>0</v>
      </c>
      <c r="C9" s="16">
        <v>34.999978697536378</v>
      </c>
      <c r="D9" s="16">
        <v>19.999986434119133</v>
      </c>
      <c r="E9" s="16">
        <v>39.999904277655176</v>
      </c>
      <c r="F9" s="5"/>
    </row>
    <row r="10" spans="2:9" ht="15.75" thickBot="1" x14ac:dyDescent="0.3">
      <c r="B10" s="3" t="s">
        <v>7</v>
      </c>
      <c r="C10" s="15">
        <f>C9-C8</f>
        <v>19.999978697536378</v>
      </c>
      <c r="D10" s="15">
        <f>D9-D8</f>
        <v>18.999986434119133</v>
      </c>
      <c r="E10" s="15">
        <f>E9-E8</f>
        <v>23.999904277655176</v>
      </c>
      <c r="F10" s="23"/>
      <c r="G10" t="s">
        <v>12</v>
      </c>
    </row>
    <row r="11" spans="2:9" x14ac:dyDescent="0.25">
      <c r="B11" s="7"/>
      <c r="C11" s="26"/>
      <c r="D11" s="26"/>
      <c r="E11" s="26"/>
      <c r="F11" s="26"/>
      <c r="G11" t="s">
        <v>13</v>
      </c>
    </row>
    <row r="12" spans="2:9" ht="57" x14ac:dyDescent="0.25">
      <c r="B12" s="7" t="s">
        <v>8</v>
      </c>
      <c r="C12" s="27"/>
      <c r="D12" s="27"/>
      <c r="E12" s="27"/>
      <c r="F12" s="27"/>
      <c r="G12" t="s">
        <v>14</v>
      </c>
    </row>
    <row r="13" spans="2:9" ht="15.75" thickBot="1" x14ac:dyDescent="0.3">
      <c r="B13" s="8"/>
      <c r="C13" s="28"/>
      <c r="D13" s="28"/>
      <c r="E13" s="28"/>
      <c r="F13" s="28"/>
    </row>
    <row r="14" spans="2:9" ht="60.75" thickBot="1" x14ac:dyDescent="0.3">
      <c r="B14" s="9" t="s">
        <v>9</v>
      </c>
      <c r="C14" s="10" t="s">
        <v>18</v>
      </c>
      <c r="D14" s="10" t="s">
        <v>17</v>
      </c>
      <c r="E14" s="10" t="s">
        <v>19</v>
      </c>
      <c r="F14" s="10" t="s">
        <v>16</v>
      </c>
      <c r="H14" s="31" t="s">
        <v>90</v>
      </c>
    </row>
    <row r="15" spans="2:9" ht="15.75" thickBot="1" x14ac:dyDescent="0.3">
      <c r="B15" s="11">
        <v>1</v>
      </c>
      <c r="C15" s="12">
        <v>30</v>
      </c>
      <c r="D15" s="12">
        <v>35</v>
      </c>
      <c r="E15" s="12">
        <v>50</v>
      </c>
      <c r="F15" s="13">
        <v>25</v>
      </c>
    </row>
    <row r="16" spans="2:9" ht="15.75" thickBot="1" x14ac:dyDescent="0.3">
      <c r="B16" s="11">
        <v>2</v>
      </c>
      <c r="C16" s="12">
        <v>35</v>
      </c>
      <c r="D16" s="12">
        <v>15</v>
      </c>
      <c r="E16" s="12">
        <v>40</v>
      </c>
      <c r="F16" s="13">
        <v>40</v>
      </c>
    </row>
    <row r="17" spans="2:8" ht="15.75" thickBot="1" x14ac:dyDescent="0.3">
      <c r="B17" s="11">
        <v>3</v>
      </c>
      <c r="C17" s="12">
        <v>20</v>
      </c>
      <c r="D17" s="12">
        <v>20</v>
      </c>
      <c r="E17" s="12">
        <v>25</v>
      </c>
      <c r="F17" s="13">
        <v>35</v>
      </c>
    </row>
    <row r="19" spans="2:8" x14ac:dyDescent="0.25">
      <c r="G19" s="1" t="s">
        <v>76</v>
      </c>
    </row>
    <row r="20" spans="2:8" x14ac:dyDescent="0.25">
      <c r="G20" s="1">
        <v>4</v>
      </c>
      <c r="H20" s="29" t="s">
        <v>85</v>
      </c>
    </row>
    <row r="21" spans="2:8" ht="60" x14ac:dyDescent="0.25">
      <c r="H21" s="29" t="s">
        <v>84</v>
      </c>
    </row>
    <row r="22" spans="2:8" ht="75" x14ac:dyDescent="0.25">
      <c r="H22" s="29" t="s">
        <v>86</v>
      </c>
    </row>
    <row r="23" spans="2:8" ht="75" x14ac:dyDescent="0.25">
      <c r="H23" s="29" t="s">
        <v>87</v>
      </c>
    </row>
    <row r="25" spans="2:8" ht="90" x14ac:dyDescent="0.25">
      <c r="G25" s="1">
        <v>5</v>
      </c>
      <c r="H25" s="29" t="s">
        <v>88</v>
      </c>
    </row>
  </sheetData>
  <mergeCells count="5">
    <mergeCell ref="B6:C6"/>
    <mergeCell ref="C11:C13"/>
    <mergeCell ref="D11:D13"/>
    <mergeCell ref="E11:E13"/>
    <mergeCell ref="F11:F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1555-D4F3-4D04-A4E4-D2017F420218}">
  <dimension ref="B5:T37"/>
  <sheetViews>
    <sheetView topLeftCell="A4" zoomScale="112" zoomScaleNormal="112" workbookViewId="0">
      <selection activeCell="M6" sqref="M6:M10"/>
    </sheetView>
  </sheetViews>
  <sheetFormatPr defaultColWidth="9.140625" defaultRowHeight="15" x14ac:dyDescent="0.25"/>
  <cols>
    <col min="1" max="1" width="9.140625" style="1"/>
    <col min="2" max="2" width="22.7109375" style="1" customWidth="1"/>
    <col min="3" max="3" width="15.42578125" style="1" customWidth="1"/>
    <col min="4" max="4" width="9.28515625" style="1" customWidth="1"/>
    <col min="5" max="5" width="10.28515625" style="1" customWidth="1"/>
    <col min="6" max="6" width="10.140625" style="1" customWidth="1"/>
    <col min="7" max="7" width="9.140625" style="1"/>
    <col min="8" max="8" width="10.7109375" style="1" customWidth="1"/>
    <col min="9" max="9" width="10.42578125" style="1" customWidth="1"/>
    <col min="10" max="11" width="11.28515625" style="1" customWidth="1"/>
    <col min="12" max="12" width="9.140625" style="1"/>
    <col min="13" max="13" width="21.7109375" style="1" customWidth="1"/>
    <col min="14" max="16384" width="9.140625" style="1"/>
  </cols>
  <sheetData>
    <row r="5" spans="3:20" x14ac:dyDescent="0.25">
      <c r="D5" s="1" t="s">
        <v>31</v>
      </c>
      <c r="I5" s="1" t="s">
        <v>30</v>
      </c>
    </row>
    <row r="6" spans="3:20" ht="108" customHeight="1" x14ac:dyDescent="0.25">
      <c r="D6" s="22" t="s">
        <v>77</v>
      </c>
      <c r="E6" s="22" t="s">
        <v>82</v>
      </c>
      <c r="F6" s="21"/>
      <c r="G6" s="22" t="s">
        <v>81</v>
      </c>
      <c r="H6" s="22" t="s">
        <v>83</v>
      </c>
      <c r="I6" s="21" t="s">
        <v>29</v>
      </c>
      <c r="J6" s="21" t="s">
        <v>28</v>
      </c>
      <c r="L6" s="22" t="s">
        <v>27</v>
      </c>
      <c r="M6" s="22" t="s">
        <v>89</v>
      </c>
    </row>
    <row r="7" spans="3:20" x14ac:dyDescent="0.25">
      <c r="D7" s="20"/>
      <c r="E7" s="20" t="s">
        <v>1</v>
      </c>
      <c r="G7" s="20"/>
      <c r="H7" s="20"/>
      <c r="L7" s="20"/>
      <c r="M7" s="20"/>
    </row>
    <row r="8" spans="3:20" x14ac:dyDescent="0.25">
      <c r="D8" s="20"/>
      <c r="E8" s="20"/>
      <c r="G8" s="20"/>
      <c r="H8" s="20"/>
      <c r="L8" s="20"/>
      <c r="M8" s="20"/>
    </row>
    <row r="9" spans="3:20" x14ac:dyDescent="0.25">
      <c r="D9" s="20">
        <v>1</v>
      </c>
      <c r="E9" s="20">
        <v>2</v>
      </c>
      <c r="G9" s="20">
        <v>1</v>
      </c>
      <c r="H9" s="20">
        <v>2</v>
      </c>
      <c r="L9" s="20"/>
      <c r="M9" s="20"/>
    </row>
    <row r="10" spans="3:20" ht="32.65" customHeight="1" x14ac:dyDescent="0.25">
      <c r="C10" s="21" t="s">
        <v>26</v>
      </c>
      <c r="D10" s="20" t="s">
        <v>1</v>
      </c>
      <c r="E10" s="20" t="s">
        <v>1</v>
      </c>
      <c r="G10" s="20"/>
      <c r="H10" s="20"/>
      <c r="L10" s="20"/>
      <c r="M10" s="20"/>
    </row>
    <row r="11" spans="3:20" x14ac:dyDescent="0.25">
      <c r="C11" s="18">
        <v>1</v>
      </c>
      <c r="D11" s="18">
        <v>30</v>
      </c>
      <c r="E11" s="18">
        <v>35</v>
      </c>
      <c r="G11" s="18">
        <f>(D11-$D$20)</f>
        <v>-5</v>
      </c>
      <c r="H11" s="18">
        <f>(E11-$E$20)</f>
        <v>15</v>
      </c>
      <c r="I11" s="18">
        <f>MAX(G11:H11)</f>
        <v>15</v>
      </c>
      <c r="J11" s="18">
        <f>IF(I11&lt;0,0,MATCH(I11,G11:H11,0))</f>
        <v>2</v>
      </c>
      <c r="L11" s="18">
        <f>IFERROR(INDEX($D$21:$E$21,1,MATCH(J11,$D$18:$E$18,0)),0)</f>
        <v>19</v>
      </c>
      <c r="M11" s="1">
        <f xml:space="preserve"> L11 * 25</f>
        <v>475</v>
      </c>
      <c r="P11" s="1" t="s">
        <v>1</v>
      </c>
    </row>
    <row r="12" spans="3:20" x14ac:dyDescent="0.25">
      <c r="C12" s="18">
        <v>2</v>
      </c>
      <c r="D12" s="18">
        <v>35</v>
      </c>
      <c r="E12" s="18">
        <v>15</v>
      </c>
      <c r="G12" s="18">
        <f>(D12-$D$20)</f>
        <v>0</v>
      </c>
      <c r="H12" s="18">
        <f>(E12-$E$20)</f>
        <v>-5</v>
      </c>
      <c r="I12" s="18">
        <f>MAX(G12:H12)</f>
        <v>0</v>
      </c>
      <c r="J12" s="18">
        <f>IF(I12&lt;0,0,MATCH(I12,G12:H12,0))</f>
        <v>1</v>
      </c>
      <c r="L12" s="18">
        <f>IFERROR(INDEX($D$21:$E$21,1,MATCH(J12,$D$18:$E$18,0)),0)</f>
        <v>20</v>
      </c>
      <c r="M12" s="1">
        <f xml:space="preserve"> L12 * 40</f>
        <v>800</v>
      </c>
      <c r="P12" s="1" t="s">
        <v>1</v>
      </c>
    </row>
    <row r="13" spans="3:20" x14ac:dyDescent="0.25">
      <c r="C13" s="18">
        <v>3</v>
      </c>
      <c r="D13" s="18">
        <v>20</v>
      </c>
      <c r="E13" s="18">
        <v>20</v>
      </c>
      <c r="G13" s="18">
        <f>(D13-$D$20)</f>
        <v>-15</v>
      </c>
      <c r="H13" s="18">
        <f>(E13-$E$20)</f>
        <v>0</v>
      </c>
      <c r="I13" s="18">
        <f>MAX(G13:H13)</f>
        <v>0</v>
      </c>
      <c r="J13" s="18">
        <f>IF(I13&lt;0,0,MATCH(I13,G13:H13,0))</f>
        <v>2</v>
      </c>
      <c r="L13" s="18">
        <f>IFERROR(INDEX($D$21:$E$21,1,MATCH(J13,$D$18:$E$18,0)),0)</f>
        <v>19</v>
      </c>
      <c r="M13" s="1">
        <f>L13*35</f>
        <v>665</v>
      </c>
      <c r="P13" s="1" t="s">
        <v>1</v>
      </c>
    </row>
    <row r="14" spans="3:20" x14ac:dyDescent="0.25">
      <c r="T14" s="1" t="s">
        <v>1</v>
      </c>
    </row>
    <row r="15" spans="3:20" x14ac:dyDescent="0.25">
      <c r="L15" s="18">
        <f>SUM(L11:L13)</f>
        <v>58</v>
      </c>
      <c r="M15" s="1">
        <f>SUM(M11:M13)</f>
        <v>1940</v>
      </c>
      <c r="T15" s="1" t="s">
        <v>1</v>
      </c>
    </row>
    <row r="16" spans="3:20" ht="45" x14ac:dyDescent="0.25">
      <c r="D16" s="24" t="s">
        <v>80</v>
      </c>
      <c r="E16" s="24" t="s">
        <v>17</v>
      </c>
    </row>
    <row r="17" spans="2:19" x14ac:dyDescent="0.25">
      <c r="C17" s="17" t="s">
        <v>46</v>
      </c>
      <c r="D17" s="17"/>
      <c r="E17" s="17"/>
      <c r="F17" s="17"/>
      <c r="G17" s="17"/>
      <c r="J17" s="1" t="s">
        <v>1</v>
      </c>
    </row>
    <row r="18" spans="2:19" x14ac:dyDescent="0.25">
      <c r="C18" s="17" t="s">
        <v>24</v>
      </c>
      <c r="D18" s="17">
        <v>1</v>
      </c>
      <c r="E18" s="17">
        <v>2</v>
      </c>
      <c r="J18" s="1" t="s">
        <v>1</v>
      </c>
    </row>
    <row r="19" spans="2:19" x14ac:dyDescent="0.25">
      <c r="C19" s="17" t="s">
        <v>23</v>
      </c>
      <c r="D19" s="17">
        <v>15</v>
      </c>
      <c r="E19" s="17">
        <v>1</v>
      </c>
      <c r="J19" s="1" t="s">
        <v>1</v>
      </c>
    </row>
    <row r="20" spans="2:19" x14ac:dyDescent="0.25">
      <c r="C20" s="18" t="s">
        <v>0</v>
      </c>
      <c r="D20" s="16">
        <v>35</v>
      </c>
      <c r="E20" s="16">
        <v>20</v>
      </c>
      <c r="J20" s="1" t="s">
        <v>1</v>
      </c>
    </row>
    <row r="21" spans="2:19" x14ac:dyDescent="0.25">
      <c r="C21" s="18" t="s">
        <v>22</v>
      </c>
      <c r="D21" s="18">
        <f>D20-D19</f>
        <v>20</v>
      </c>
      <c r="E21" s="18">
        <f>E20-E19</f>
        <v>19</v>
      </c>
    </row>
    <row r="22" spans="2:19" x14ac:dyDescent="0.25">
      <c r="C22" s="17" t="s">
        <v>1</v>
      </c>
      <c r="D22" s="17"/>
      <c r="E22" s="17"/>
    </row>
    <row r="23" spans="2:19" x14ac:dyDescent="0.25">
      <c r="C23" s="17" t="s">
        <v>21</v>
      </c>
      <c r="D23" s="17"/>
      <c r="E23" s="16">
        <f>SUM(L11:L13)</f>
        <v>58</v>
      </c>
    </row>
    <row r="25" spans="2:19" x14ac:dyDescent="0.25">
      <c r="C25"/>
      <c r="D25"/>
      <c r="E25"/>
      <c r="F25"/>
      <c r="G25"/>
      <c r="H25"/>
      <c r="I25"/>
      <c r="J25"/>
      <c r="K25"/>
      <c r="L25"/>
      <c r="M25"/>
      <c r="N25"/>
      <c r="O25"/>
      <c r="P25"/>
      <c r="Q25"/>
      <c r="R25"/>
      <c r="S25"/>
    </row>
    <row r="26" spans="2:19" x14ac:dyDescent="0.25">
      <c r="C26"/>
      <c r="D26"/>
      <c r="E26"/>
      <c r="F26"/>
      <c r="G26"/>
      <c r="H26"/>
      <c r="I26"/>
      <c r="J26"/>
      <c r="K26"/>
      <c r="L26"/>
      <c r="M26"/>
      <c r="N26"/>
      <c r="O26"/>
      <c r="P26"/>
      <c r="Q26"/>
      <c r="R26"/>
      <c r="S26"/>
    </row>
    <row r="27" spans="2:19" x14ac:dyDescent="0.25">
      <c r="C27"/>
      <c r="D27"/>
      <c r="E27"/>
      <c r="F27"/>
      <c r="G27"/>
      <c r="H27"/>
      <c r="I27"/>
      <c r="J27"/>
      <c r="K27"/>
      <c r="L27"/>
      <c r="M27"/>
      <c r="N27"/>
      <c r="O27"/>
    </row>
    <row r="28" spans="2:19" x14ac:dyDescent="0.25">
      <c r="C28"/>
      <c r="D28"/>
      <c r="E28"/>
      <c r="F28"/>
      <c r="G28"/>
      <c r="H28"/>
      <c r="I28"/>
      <c r="J28"/>
      <c r="K28"/>
      <c r="L28"/>
      <c r="M28"/>
      <c r="N28"/>
      <c r="O28"/>
    </row>
    <row r="29" spans="2:19" x14ac:dyDescent="0.25">
      <c r="C29"/>
      <c r="D29"/>
      <c r="E29"/>
      <c r="F29"/>
      <c r="G29"/>
      <c r="H29"/>
      <c r="I29"/>
      <c r="J29"/>
      <c r="K29"/>
      <c r="L29"/>
      <c r="M29"/>
      <c r="N29"/>
      <c r="O29"/>
    </row>
    <row r="30" spans="2:19" x14ac:dyDescent="0.25">
      <c r="C30"/>
      <c r="D30"/>
      <c r="E30"/>
      <c r="F30"/>
      <c r="G30"/>
      <c r="H30"/>
      <c r="I30"/>
      <c r="J30"/>
      <c r="K30"/>
      <c r="L30"/>
      <c r="M30"/>
      <c r="N30"/>
      <c r="O30"/>
    </row>
    <row r="31" spans="2:19" x14ac:dyDescent="0.25">
      <c r="B31" s="1" t="s">
        <v>33</v>
      </c>
      <c r="C31" s="1" t="s">
        <v>32</v>
      </c>
      <c r="D31" s="1">
        <v>33</v>
      </c>
    </row>
    <row r="32" spans="2:19" x14ac:dyDescent="0.25">
      <c r="B32" s="1" t="s">
        <v>34</v>
      </c>
      <c r="C32" s="1" t="s">
        <v>35</v>
      </c>
      <c r="D32" s="1">
        <v>54</v>
      </c>
    </row>
    <row r="33" spans="2:5" x14ac:dyDescent="0.25">
      <c r="B33" s="1" t="s">
        <v>36</v>
      </c>
      <c r="C33" s="1" t="s">
        <v>37</v>
      </c>
      <c r="D33" s="1">
        <v>53</v>
      </c>
    </row>
    <row r="34" spans="2:5" x14ac:dyDescent="0.25">
      <c r="B34" s="1" t="s">
        <v>38</v>
      </c>
      <c r="C34" s="1" t="s">
        <v>39</v>
      </c>
      <c r="D34" s="1">
        <v>35</v>
      </c>
    </row>
    <row r="35" spans="2:5" x14ac:dyDescent="0.25">
      <c r="B35" s="1" t="s">
        <v>40</v>
      </c>
      <c r="C35" s="1" t="s">
        <v>41</v>
      </c>
      <c r="D35" s="1">
        <v>15</v>
      </c>
    </row>
    <row r="36" spans="2:5" x14ac:dyDescent="0.25">
      <c r="B36" s="1" t="s">
        <v>42</v>
      </c>
      <c r="C36" s="1" t="s">
        <v>43</v>
      </c>
      <c r="D36" s="1">
        <v>48</v>
      </c>
    </row>
    <row r="37" spans="2:5" x14ac:dyDescent="0.25">
      <c r="B37" s="30" t="s">
        <v>72</v>
      </c>
      <c r="C37" s="30" t="s">
        <v>73</v>
      </c>
      <c r="D37" s="30">
        <v>58</v>
      </c>
      <c r="E37" s="30">
        <v>1940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72A62-D076-4843-9A4B-136CC987DFF7}">
  <dimension ref="C5:T30"/>
  <sheetViews>
    <sheetView zoomScale="112" zoomScaleNormal="112" workbookViewId="0">
      <selection activeCell="H6" sqref="H6:H10"/>
    </sheetView>
  </sheetViews>
  <sheetFormatPr defaultColWidth="9.140625" defaultRowHeight="15" x14ac:dyDescent="0.25"/>
  <cols>
    <col min="1" max="1" width="9.140625" style="1"/>
    <col min="2" max="2" width="22.7109375" style="1" customWidth="1"/>
    <col min="3" max="3" width="15.42578125" style="1" customWidth="1"/>
    <col min="4" max="4" width="9.28515625" style="1" customWidth="1"/>
    <col min="5" max="6" width="10.28515625" style="1" customWidth="1"/>
    <col min="7" max="7" width="10.140625" style="1" customWidth="1"/>
    <col min="8" max="8" width="19.85546875" style="1" customWidth="1"/>
    <col min="9" max="10" width="11.28515625" style="1" customWidth="1"/>
    <col min="11" max="11" width="9.140625" style="1"/>
    <col min="12" max="12" width="10.5703125" style="1" customWidth="1"/>
    <col min="13" max="16384" width="9.140625" style="1"/>
  </cols>
  <sheetData>
    <row r="5" spans="3:20" x14ac:dyDescent="0.25">
      <c r="D5" s="1" t="s">
        <v>31</v>
      </c>
      <c r="H5" s="1" t="s">
        <v>30</v>
      </c>
    </row>
    <row r="6" spans="3:20" ht="108" customHeight="1" x14ac:dyDescent="0.25">
      <c r="D6" s="22" t="s">
        <v>20</v>
      </c>
      <c r="E6" s="21"/>
      <c r="F6" s="22" t="s">
        <v>47</v>
      </c>
      <c r="G6" s="22" t="s">
        <v>27</v>
      </c>
      <c r="H6" s="22" t="s">
        <v>89</v>
      </c>
    </row>
    <row r="7" spans="3:20" x14ac:dyDescent="0.25">
      <c r="D7" s="20"/>
      <c r="F7" s="20"/>
      <c r="G7" s="20"/>
      <c r="H7" s="20"/>
    </row>
    <row r="8" spans="3:20" x14ac:dyDescent="0.25">
      <c r="D8" s="20"/>
      <c r="F8" s="20"/>
      <c r="G8" s="20"/>
      <c r="H8" s="20"/>
    </row>
    <row r="9" spans="3:20" x14ac:dyDescent="0.25">
      <c r="D9" s="20">
        <v>3</v>
      </c>
      <c r="F9" s="20">
        <v>3</v>
      </c>
      <c r="G9" s="20"/>
      <c r="H9" s="20"/>
    </row>
    <row r="10" spans="3:20" ht="32.65" customHeight="1" x14ac:dyDescent="0.25">
      <c r="C10" s="21" t="s">
        <v>26</v>
      </c>
      <c r="D10" s="20"/>
      <c r="F10" s="20"/>
      <c r="G10" s="20"/>
      <c r="H10" s="20"/>
    </row>
    <row r="11" spans="3:20" x14ac:dyDescent="0.25">
      <c r="C11" s="18">
        <v>1</v>
      </c>
      <c r="D11" s="18">
        <v>50</v>
      </c>
      <c r="F11" s="18">
        <f>(D11-D20)</f>
        <v>10</v>
      </c>
      <c r="G11" s="18">
        <f>IF($F$11&lt;0,0,IFERROR(INDEX(D21,1,MATCH(F9,D18,0)),0))</f>
        <v>24</v>
      </c>
      <c r="H11" s="1">
        <f>G11 * 25</f>
        <v>600</v>
      </c>
      <c r="K11" s="1" t="s">
        <v>1</v>
      </c>
    </row>
    <row r="12" spans="3:20" x14ac:dyDescent="0.25">
      <c r="C12" s="18">
        <v>2</v>
      </c>
      <c r="D12" s="18">
        <v>40</v>
      </c>
      <c r="F12" s="18">
        <f>(D12-D20)</f>
        <v>0</v>
      </c>
      <c r="G12" s="18">
        <f>IF(F12&lt;0,0,IFERROR(INDEX(D21,1,MATCH(F9,D18,0)),0))</f>
        <v>24</v>
      </c>
      <c r="H12" s="1">
        <f>G12 * 40</f>
        <v>960</v>
      </c>
      <c r="K12" s="1" t="s">
        <v>1</v>
      </c>
    </row>
    <row r="13" spans="3:20" x14ac:dyDescent="0.25">
      <c r="C13" s="18">
        <v>3</v>
      </c>
      <c r="D13" s="18">
        <v>25</v>
      </c>
      <c r="F13" s="18">
        <f>(D13-D20)</f>
        <v>-15</v>
      </c>
      <c r="G13" s="18">
        <f>IF(F13&lt;0,0,IFERROR(INDEX(D21,1,MATCH(F11,D18,0)),0))</f>
        <v>0</v>
      </c>
      <c r="H13" s="1">
        <f>G13 * 35</f>
        <v>0</v>
      </c>
      <c r="K13" s="1" t="s">
        <v>1</v>
      </c>
    </row>
    <row r="14" spans="3:20" x14ac:dyDescent="0.25">
      <c r="G14" s="1">
        <f>SUM(G11:G13)</f>
        <v>48</v>
      </c>
      <c r="H14" s="1">
        <f>SUM(H11:H13)</f>
        <v>1560</v>
      </c>
      <c r="T14" s="1" t="s">
        <v>1</v>
      </c>
    </row>
    <row r="15" spans="3:20" x14ac:dyDescent="0.25">
      <c r="Q15" s="1" t="s">
        <v>1</v>
      </c>
    </row>
    <row r="16" spans="3:20" x14ac:dyDescent="0.25">
      <c r="D16" s="19"/>
      <c r="E16" s="19"/>
      <c r="F16" s="19" t="s">
        <v>20</v>
      </c>
    </row>
    <row r="17" spans="3:19" x14ac:dyDescent="0.25">
      <c r="C17" s="17" t="s">
        <v>46</v>
      </c>
      <c r="D17" s="17"/>
      <c r="E17" s="17"/>
      <c r="F17" s="17"/>
      <c r="G17" s="17"/>
      <c r="I17" s="1" t="s">
        <v>1</v>
      </c>
    </row>
    <row r="18" spans="3:19" x14ac:dyDescent="0.25">
      <c r="C18" s="17" t="s">
        <v>24</v>
      </c>
      <c r="D18" s="17">
        <v>3</v>
      </c>
      <c r="E18" s="17"/>
      <c r="F18" s="17"/>
      <c r="G18" s="17"/>
    </row>
    <row r="19" spans="3:19" x14ac:dyDescent="0.25">
      <c r="C19" s="17" t="s">
        <v>23</v>
      </c>
      <c r="D19" s="17">
        <v>16</v>
      </c>
      <c r="E19" s="17"/>
      <c r="F19" s="17"/>
      <c r="G19" s="17"/>
    </row>
    <row r="20" spans="3:19" x14ac:dyDescent="0.25">
      <c r="C20" s="18" t="s">
        <v>0</v>
      </c>
      <c r="D20" s="16">
        <v>40</v>
      </c>
      <c r="E20" s="16"/>
      <c r="F20" s="16"/>
      <c r="G20" s="16"/>
    </row>
    <row r="21" spans="3:19" x14ac:dyDescent="0.25">
      <c r="C21" s="18" t="s">
        <v>22</v>
      </c>
      <c r="D21" s="18">
        <f>D20-D19</f>
        <v>24</v>
      </c>
      <c r="E21" s="18"/>
      <c r="F21" s="18"/>
      <c r="G21" s="18"/>
    </row>
    <row r="22" spans="3:19" x14ac:dyDescent="0.25">
      <c r="C22" s="17" t="s">
        <v>1</v>
      </c>
      <c r="D22" s="17"/>
      <c r="E22" s="17"/>
      <c r="F22" s="17"/>
      <c r="G22" s="17"/>
    </row>
    <row r="23" spans="3:19" x14ac:dyDescent="0.25">
      <c r="C23" s="17" t="s">
        <v>21</v>
      </c>
      <c r="D23" s="17"/>
      <c r="E23" s="17"/>
      <c r="F23" s="16">
        <f>SUM(G11:G13)</f>
        <v>48</v>
      </c>
      <c r="G23" s="17"/>
    </row>
    <row r="25" spans="3:19" x14ac:dyDescent="0.25">
      <c r="C25"/>
      <c r="D25"/>
      <c r="E25"/>
      <c r="F25"/>
      <c r="G25"/>
      <c r="H25"/>
      <c r="I25"/>
      <c r="J25"/>
      <c r="K25"/>
      <c r="L25"/>
      <c r="M25"/>
      <c r="N25"/>
      <c r="O25"/>
      <c r="P25"/>
      <c r="Q25"/>
      <c r="R25"/>
      <c r="S25"/>
    </row>
    <row r="26" spans="3:19" x14ac:dyDescent="0.25">
      <c r="C26"/>
      <c r="D26"/>
      <c r="E26"/>
      <c r="F26"/>
      <c r="G26"/>
      <c r="H26"/>
      <c r="I26"/>
      <c r="J26"/>
      <c r="K26"/>
      <c r="L26"/>
      <c r="M26"/>
      <c r="N26"/>
      <c r="O26"/>
      <c r="P26"/>
      <c r="Q26"/>
      <c r="R26"/>
      <c r="S26"/>
    </row>
    <row r="27" spans="3:19" x14ac:dyDescent="0.25">
      <c r="C27"/>
      <c r="D27"/>
      <c r="E27"/>
      <c r="F27"/>
      <c r="G27"/>
      <c r="H27"/>
      <c r="I27"/>
      <c r="J27"/>
      <c r="K27"/>
      <c r="L27"/>
      <c r="M27"/>
      <c r="N27"/>
      <c r="O27"/>
    </row>
    <row r="28" spans="3:19" x14ac:dyDescent="0.25">
      <c r="C28"/>
      <c r="D28"/>
      <c r="E28"/>
      <c r="F28"/>
      <c r="G28"/>
      <c r="H28"/>
      <c r="I28"/>
      <c r="J28"/>
      <c r="K28"/>
      <c r="L28"/>
      <c r="M28"/>
      <c r="N28"/>
      <c r="O28"/>
    </row>
    <row r="29" spans="3:19" x14ac:dyDescent="0.25">
      <c r="C29"/>
      <c r="D29"/>
      <c r="E29"/>
      <c r="F29"/>
      <c r="G29"/>
      <c r="H29"/>
      <c r="I29"/>
      <c r="J29"/>
      <c r="K29"/>
      <c r="L29"/>
      <c r="M29"/>
      <c r="N29"/>
      <c r="O29"/>
    </row>
    <row r="30" spans="3:19" x14ac:dyDescent="0.25">
      <c r="C30"/>
      <c r="D30"/>
      <c r="E30"/>
      <c r="F30"/>
      <c r="G30"/>
      <c r="H30"/>
      <c r="I30"/>
      <c r="J30"/>
      <c r="K30"/>
      <c r="L30"/>
      <c r="M30"/>
      <c r="N30"/>
      <c r="O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7C11-1BD9-40DD-84BC-16B228BF64B1}">
  <dimension ref="F2:AB41"/>
  <sheetViews>
    <sheetView topLeftCell="E1" zoomScale="112" zoomScaleNormal="112" workbookViewId="0">
      <selection activeCell="V16" sqref="V16"/>
    </sheetView>
  </sheetViews>
  <sheetFormatPr defaultColWidth="9.140625" defaultRowHeight="15" x14ac:dyDescent="0.25"/>
  <cols>
    <col min="1" max="5" width="9.140625" style="1"/>
    <col min="6" max="6" width="30.5703125" style="1" customWidth="1"/>
    <col min="7" max="7" width="12.28515625" style="1" customWidth="1"/>
    <col min="8" max="8" width="10.28515625" style="1" customWidth="1"/>
    <col min="9" max="9" width="10.140625" style="1" customWidth="1"/>
    <col min="10" max="11" width="9.140625" style="1"/>
    <col min="12" max="12" width="10.42578125" style="1" customWidth="1"/>
    <col min="13" max="18" width="11.28515625" style="1" customWidth="1"/>
    <col min="19" max="19" width="9.140625" style="1"/>
    <col min="20" max="20" width="10.5703125" style="1" customWidth="1"/>
    <col min="21" max="21" width="25.7109375" style="1" customWidth="1"/>
    <col min="22" max="16384" width="9.140625" style="1"/>
  </cols>
  <sheetData>
    <row r="2" spans="6:28" x14ac:dyDescent="0.25">
      <c r="G2" s="1" t="s">
        <v>31</v>
      </c>
      <c r="L2" s="1" t="s">
        <v>30</v>
      </c>
    </row>
    <row r="3" spans="6:28" ht="120" x14ac:dyDescent="0.25">
      <c r="G3" s="22" t="s">
        <v>77</v>
      </c>
      <c r="H3" s="22" t="s">
        <v>78</v>
      </c>
      <c r="I3" s="22" t="s">
        <v>45</v>
      </c>
      <c r="J3" s="21"/>
      <c r="K3" s="22" t="s">
        <v>81</v>
      </c>
      <c r="L3" s="22" t="s">
        <v>79</v>
      </c>
      <c r="M3" s="22" t="s">
        <v>44</v>
      </c>
      <c r="N3" s="21" t="s">
        <v>29</v>
      </c>
      <c r="O3" s="21" t="s">
        <v>28</v>
      </c>
      <c r="P3" s="21"/>
      <c r="Q3" s="21" t="s">
        <v>75</v>
      </c>
      <c r="R3" s="21"/>
      <c r="T3" s="22" t="s">
        <v>27</v>
      </c>
      <c r="U3" s="22" t="s">
        <v>89</v>
      </c>
    </row>
    <row r="4" spans="6:28" x14ac:dyDescent="0.25">
      <c r="G4" s="20"/>
      <c r="H4" s="20" t="s">
        <v>1</v>
      </c>
      <c r="I4" s="20" t="s">
        <v>1</v>
      </c>
      <c r="K4" s="20"/>
      <c r="L4" s="20"/>
      <c r="M4" s="20"/>
      <c r="T4" s="20"/>
      <c r="U4" s="20"/>
    </row>
    <row r="5" spans="6:28" x14ac:dyDescent="0.25">
      <c r="G5" s="20"/>
      <c r="H5" s="20"/>
      <c r="I5" s="20"/>
      <c r="K5" s="20"/>
      <c r="L5" s="20"/>
      <c r="M5" s="20"/>
      <c r="T5" s="20"/>
      <c r="U5" s="20"/>
    </row>
    <row r="6" spans="6:28" x14ac:dyDescent="0.25">
      <c r="G6" s="20">
        <v>1</v>
      </c>
      <c r="H6" s="20">
        <v>2</v>
      </c>
      <c r="I6" s="20">
        <v>3</v>
      </c>
      <c r="K6" s="20">
        <v>1</v>
      </c>
      <c r="L6" s="20">
        <v>2</v>
      </c>
      <c r="M6" s="20">
        <v>3</v>
      </c>
      <c r="T6" s="20"/>
      <c r="U6" s="20"/>
    </row>
    <row r="7" spans="6:28" ht="32.65" customHeight="1" x14ac:dyDescent="0.25">
      <c r="F7" s="21" t="s">
        <v>26</v>
      </c>
      <c r="G7" s="20" t="s">
        <v>1</v>
      </c>
      <c r="H7" s="20" t="s">
        <v>1</v>
      </c>
      <c r="I7" s="20" t="s">
        <v>1</v>
      </c>
      <c r="K7" s="20"/>
      <c r="L7" s="20"/>
      <c r="M7" s="20"/>
      <c r="T7" s="20"/>
      <c r="U7" s="20"/>
    </row>
    <row r="8" spans="6:28" x14ac:dyDescent="0.25">
      <c r="F8" s="18">
        <v>1</v>
      </c>
      <c r="G8" s="18">
        <v>30</v>
      </c>
      <c r="H8" s="18">
        <v>35</v>
      </c>
      <c r="I8" s="18">
        <v>50</v>
      </c>
      <c r="K8" s="18">
        <f>G8-$G$17</f>
        <v>-4.9999980660097165</v>
      </c>
      <c r="L8" s="18">
        <f>H8-$H$17</f>
        <v>15.000002626338841</v>
      </c>
      <c r="M8" s="18">
        <f>I8-$I$17</f>
        <v>10.000001949973154</v>
      </c>
      <c r="N8" s="18">
        <f>MAX(K8:M8)</f>
        <v>15.000002626338841</v>
      </c>
      <c r="O8" s="18">
        <f>IF(N8&lt;0,0,MATCH(N8,K8:M8,0))</f>
        <v>2</v>
      </c>
      <c r="P8" s="18"/>
      <c r="Q8" s="18"/>
      <c r="R8" s="18"/>
      <c r="T8" s="18">
        <f>IFERROR(INDEX($G$18:$I$18,1,MATCH(O8,$G$15:$I$15,0)),0)</f>
        <v>18.999997373661159</v>
      </c>
      <c r="U8" s="1">
        <f>T8*25</f>
        <v>474.99993434152896</v>
      </c>
      <c r="Y8" s="1" t="s">
        <v>1</v>
      </c>
    </row>
    <row r="9" spans="6:28" x14ac:dyDescent="0.25">
      <c r="F9" s="18">
        <v>2</v>
      </c>
      <c r="G9" s="18">
        <v>35</v>
      </c>
      <c r="H9" s="18">
        <v>15</v>
      </c>
      <c r="I9" s="18">
        <v>40</v>
      </c>
      <c r="K9" s="18">
        <f>G9-$G$17</f>
        <v>1.9339902834758504E-6</v>
      </c>
      <c r="L9" s="18">
        <f>H9-$H$17</f>
        <v>-4.9999973736611594</v>
      </c>
      <c r="M9" s="18">
        <f>I9-$I$17</f>
        <v>1.9499731536143372E-6</v>
      </c>
      <c r="N9" s="18">
        <f>MAX(K9:M9)</f>
        <v>1.9499731536143372E-6</v>
      </c>
      <c r="O9" s="18">
        <f>IF(N9&lt;0,0,MATCH(N9,K9:M9,0))</f>
        <v>3</v>
      </c>
      <c r="P9" s="18"/>
      <c r="Q9" s="18"/>
      <c r="R9" s="18"/>
      <c r="T9" s="18">
        <f>IFERROR(INDEX($G$18:$I$18,1,MATCH(O9,$G$15:$I$15,0)),0)</f>
        <v>23.999998050026846</v>
      </c>
      <c r="U9" s="1">
        <f>T9*40</f>
        <v>959.99992200107386</v>
      </c>
      <c r="Y9" s="1" t="s">
        <v>1</v>
      </c>
    </row>
    <row r="10" spans="6:28" x14ac:dyDescent="0.25">
      <c r="F10" s="18">
        <v>3</v>
      </c>
      <c r="G10" s="18">
        <v>20</v>
      </c>
      <c r="H10" s="18">
        <v>20</v>
      </c>
      <c r="I10" s="18">
        <v>25</v>
      </c>
      <c r="K10" s="18">
        <f>G10-$G$17</f>
        <v>-14.999998066009717</v>
      </c>
      <c r="L10" s="18">
        <f>H10-$H$17</f>
        <v>2.6263388406277954E-6</v>
      </c>
      <c r="M10" s="18">
        <f>I10-$I$17</f>
        <v>-14.999998050026846</v>
      </c>
      <c r="N10" s="18">
        <f>MAX(K10:M10)</f>
        <v>2.6263388406277954E-6</v>
      </c>
      <c r="O10" s="18">
        <f>IF(N10&lt;0,0,MATCH(N10,K10:M10,0))</f>
        <v>2</v>
      </c>
      <c r="P10" s="18"/>
      <c r="Q10" s="18"/>
      <c r="R10" s="18"/>
      <c r="T10" s="18">
        <f>IFERROR(INDEX($G$18:$I$18,1,MATCH(O10,$G$15:$I$15,0)),0)</f>
        <v>18.999997373661159</v>
      </c>
      <c r="U10" s="1">
        <f>T10*35</f>
        <v>664.99990807814061</v>
      </c>
      <c r="Y10" s="1" t="s">
        <v>1</v>
      </c>
    </row>
    <row r="11" spans="6:28" x14ac:dyDescent="0.25">
      <c r="AB11" s="1" t="s">
        <v>1</v>
      </c>
    </row>
    <row r="12" spans="6:28" x14ac:dyDescent="0.25">
      <c r="T12" s="18">
        <f>SUM(T8:T10)</f>
        <v>61.999992797349165</v>
      </c>
      <c r="U12" s="1">
        <f>SUM(U8:U10)</f>
        <v>2099.9997644207433</v>
      </c>
      <c r="AB12" s="1" t="s">
        <v>1</v>
      </c>
    </row>
    <row r="13" spans="6:28" ht="45" x14ac:dyDescent="0.25">
      <c r="G13" s="24" t="s">
        <v>18</v>
      </c>
      <c r="H13" s="24" t="s">
        <v>17</v>
      </c>
      <c r="I13" s="19" t="s">
        <v>20</v>
      </c>
    </row>
    <row r="14" spans="6:28" x14ac:dyDescent="0.25">
      <c r="F14" s="17" t="s">
        <v>25</v>
      </c>
      <c r="G14" s="17"/>
      <c r="H14" s="17"/>
      <c r="I14" s="17"/>
      <c r="M14" s="1" t="s">
        <v>1</v>
      </c>
      <c r="O14" s="1" t="s">
        <v>1</v>
      </c>
    </row>
    <row r="15" spans="6:28" x14ac:dyDescent="0.25">
      <c r="F15" s="17" t="s">
        <v>24</v>
      </c>
      <c r="G15" s="17">
        <v>1</v>
      </c>
      <c r="H15" s="17">
        <v>2</v>
      </c>
      <c r="I15" s="17">
        <v>3</v>
      </c>
      <c r="M15" s="1" t="s">
        <v>1</v>
      </c>
      <c r="O15" s="1" t="s">
        <v>1</v>
      </c>
    </row>
    <row r="16" spans="6:28" x14ac:dyDescent="0.25">
      <c r="F16" s="17" t="s">
        <v>23</v>
      </c>
      <c r="G16" s="17">
        <v>15</v>
      </c>
      <c r="H16" s="17">
        <v>1</v>
      </c>
      <c r="I16" s="17">
        <v>16</v>
      </c>
      <c r="O16" s="1" t="s">
        <v>1</v>
      </c>
    </row>
    <row r="17" spans="6:27" x14ac:dyDescent="0.25">
      <c r="F17" s="18" t="s">
        <v>0</v>
      </c>
      <c r="G17" s="16">
        <v>34.999998066009717</v>
      </c>
      <c r="H17" s="16">
        <v>19.999997373661159</v>
      </c>
      <c r="I17" s="16">
        <v>39.999998050026846</v>
      </c>
      <c r="O17" s="1" t="s">
        <v>1</v>
      </c>
    </row>
    <row r="18" spans="6:27" x14ac:dyDescent="0.25">
      <c r="F18" s="18" t="s">
        <v>22</v>
      </c>
      <c r="G18" s="18">
        <f>G17-G16</f>
        <v>19.999998066009717</v>
      </c>
      <c r="H18" s="18">
        <f>H17-H16</f>
        <v>18.999997373661159</v>
      </c>
      <c r="I18" s="18">
        <f>I17-I16</f>
        <v>23.999998050026846</v>
      </c>
    </row>
    <row r="19" spans="6:27" x14ac:dyDescent="0.25">
      <c r="F19" s="17" t="s">
        <v>1</v>
      </c>
      <c r="G19" s="17"/>
      <c r="H19" s="17"/>
      <c r="I19" s="17"/>
    </row>
    <row r="20" spans="6:27" x14ac:dyDescent="0.25">
      <c r="F20" s="17" t="s">
        <v>21</v>
      </c>
      <c r="G20" s="17"/>
      <c r="H20" s="16">
        <f>SUM(T8:T10)</f>
        <v>61.999992797349165</v>
      </c>
      <c r="I20" s="17"/>
    </row>
    <row r="22" spans="6:27" x14ac:dyDescent="0.25">
      <c r="F22"/>
      <c r="G22"/>
      <c r="H22"/>
      <c r="I22"/>
      <c r="J22"/>
      <c r="K22"/>
      <c r="L22"/>
      <c r="M22"/>
      <c r="N22"/>
      <c r="O22"/>
      <c r="P22"/>
      <c r="Q22"/>
      <c r="R22"/>
      <c r="S22"/>
      <c r="T22"/>
      <c r="U22"/>
      <c r="V22"/>
      <c r="W22"/>
      <c r="X22"/>
      <c r="Y22"/>
      <c r="Z22"/>
      <c r="AA22"/>
    </row>
    <row r="23" spans="6:27" x14ac:dyDescent="0.25">
      <c r="F23"/>
      <c r="G23"/>
      <c r="H23"/>
      <c r="I23"/>
      <c r="J23"/>
      <c r="K23"/>
      <c r="L23"/>
      <c r="M23"/>
      <c r="N23"/>
      <c r="O23"/>
      <c r="P23"/>
      <c r="Q23"/>
      <c r="R23"/>
      <c r="S23"/>
      <c r="T23"/>
      <c r="U23"/>
      <c r="V23"/>
      <c r="W23"/>
      <c r="X23"/>
      <c r="Y23"/>
      <c r="Z23"/>
      <c r="AA23"/>
    </row>
    <row r="24" spans="6:27" x14ac:dyDescent="0.25">
      <c r="F24"/>
      <c r="G24"/>
      <c r="H24"/>
      <c r="I24"/>
      <c r="J24"/>
      <c r="K24"/>
      <c r="L24"/>
      <c r="M24"/>
      <c r="N24"/>
      <c r="O24"/>
      <c r="P24"/>
      <c r="Q24"/>
      <c r="R24"/>
      <c r="S24"/>
      <c r="T24"/>
      <c r="U24"/>
      <c r="V24"/>
      <c r="W24"/>
    </row>
    <row r="25" spans="6:27" x14ac:dyDescent="0.25">
      <c r="F25"/>
      <c r="G25"/>
      <c r="H25"/>
      <c r="I25"/>
      <c r="J25"/>
      <c r="K25"/>
      <c r="L25"/>
      <c r="M25"/>
      <c r="N25"/>
      <c r="O25"/>
      <c r="P25"/>
      <c r="Q25"/>
      <c r="R25"/>
      <c r="S25"/>
      <c r="T25"/>
      <c r="U25"/>
      <c r="V25"/>
      <c r="W25"/>
    </row>
    <row r="26" spans="6:27" x14ac:dyDescent="0.25">
      <c r="F26"/>
      <c r="G26"/>
      <c r="H26"/>
      <c r="I26"/>
      <c r="J26"/>
      <c r="K26"/>
      <c r="L26"/>
      <c r="M26"/>
      <c r="N26"/>
      <c r="O26"/>
      <c r="P26"/>
      <c r="Q26"/>
      <c r="R26"/>
      <c r="S26"/>
      <c r="T26"/>
      <c r="U26"/>
      <c r="V26"/>
      <c r="W26"/>
    </row>
    <row r="27" spans="6:27" x14ac:dyDescent="0.25">
      <c r="F27"/>
      <c r="G27"/>
      <c r="H27"/>
      <c r="I27"/>
      <c r="J27"/>
      <c r="K27"/>
      <c r="L27"/>
      <c r="M27"/>
      <c r="N27"/>
      <c r="O27"/>
      <c r="P27"/>
      <c r="Q27"/>
      <c r="R27"/>
      <c r="S27"/>
      <c r="T27"/>
      <c r="U27"/>
      <c r="V27"/>
      <c r="W27"/>
    </row>
    <row r="28" spans="6:27" x14ac:dyDescent="0.25">
      <c r="F28" s="1" t="s">
        <v>48</v>
      </c>
      <c r="G28" s="1" t="s">
        <v>49</v>
      </c>
      <c r="H28" s="1">
        <v>28</v>
      </c>
      <c r="I28" s="1">
        <v>915</v>
      </c>
    </row>
    <row r="29" spans="6:27" x14ac:dyDescent="0.25">
      <c r="F29" s="1" t="s">
        <v>50</v>
      </c>
      <c r="G29" s="1" t="s">
        <v>51</v>
      </c>
      <c r="H29" s="1">
        <v>54</v>
      </c>
      <c r="I29" s="1">
        <v>1650</v>
      </c>
    </row>
    <row r="30" spans="6:27" x14ac:dyDescent="0.25">
      <c r="F30" s="1" t="s">
        <v>64</v>
      </c>
      <c r="G30" s="1" t="s">
        <v>69</v>
      </c>
      <c r="H30" s="1">
        <v>29</v>
      </c>
      <c r="I30" s="1">
        <v>850</v>
      </c>
    </row>
    <row r="31" spans="6:27" x14ac:dyDescent="0.25">
      <c r="F31" s="1" t="s">
        <v>54</v>
      </c>
      <c r="G31" s="1" t="s">
        <v>56</v>
      </c>
      <c r="H31" s="1">
        <v>19</v>
      </c>
      <c r="I31" s="1">
        <v>600</v>
      </c>
    </row>
    <row r="32" spans="6:27" x14ac:dyDescent="0.25">
      <c r="F32" s="1" t="s">
        <v>55</v>
      </c>
      <c r="G32" s="1" t="s">
        <v>57</v>
      </c>
      <c r="H32" s="1">
        <v>48</v>
      </c>
      <c r="I32" s="1">
        <v>1640</v>
      </c>
    </row>
    <row r="33" spans="6:9" x14ac:dyDescent="0.25">
      <c r="F33" s="1" t="s">
        <v>63</v>
      </c>
      <c r="G33" s="1" t="s">
        <v>59</v>
      </c>
      <c r="H33" s="1">
        <v>58</v>
      </c>
      <c r="I33" s="1">
        <v>1940</v>
      </c>
    </row>
    <row r="34" spans="6:9" x14ac:dyDescent="0.25">
      <c r="F34" s="1" t="s">
        <v>60</v>
      </c>
      <c r="G34" s="1" t="s">
        <v>68</v>
      </c>
      <c r="H34" s="1">
        <v>30</v>
      </c>
      <c r="I34" s="1">
        <v>975</v>
      </c>
    </row>
    <row r="35" spans="6:9" x14ac:dyDescent="0.25">
      <c r="F35" s="1" t="s">
        <v>61</v>
      </c>
      <c r="G35" s="1" t="s">
        <v>62</v>
      </c>
      <c r="H35" s="1">
        <v>32</v>
      </c>
      <c r="I35" s="1">
        <v>1075</v>
      </c>
    </row>
    <row r="36" spans="6:9" x14ac:dyDescent="0.25">
      <c r="F36" s="1" t="s">
        <v>65</v>
      </c>
      <c r="G36" s="1" t="s">
        <v>66</v>
      </c>
      <c r="H36" s="1">
        <v>53</v>
      </c>
      <c r="I36" s="1">
        <v>1740</v>
      </c>
    </row>
    <row r="37" spans="6:9" x14ac:dyDescent="0.25">
      <c r="F37" s="1" t="s">
        <v>58</v>
      </c>
      <c r="G37" s="1" t="s">
        <v>67</v>
      </c>
      <c r="H37" s="1">
        <v>39</v>
      </c>
      <c r="I37" s="1">
        <v>1200</v>
      </c>
    </row>
    <row r="38" spans="6:9" x14ac:dyDescent="0.25">
      <c r="F38" s="1" t="s">
        <v>52</v>
      </c>
      <c r="G38" s="1" t="s">
        <v>53</v>
      </c>
      <c r="H38" s="1">
        <v>53</v>
      </c>
      <c r="I38" s="1">
        <v>1740</v>
      </c>
    </row>
    <row r="39" spans="6:9" x14ac:dyDescent="0.25">
      <c r="F39" s="1" t="s">
        <v>70</v>
      </c>
      <c r="G39" s="1" t="s">
        <v>71</v>
      </c>
      <c r="H39" s="1">
        <v>58</v>
      </c>
      <c r="I39" s="1">
        <v>1940</v>
      </c>
    </row>
    <row r="41" spans="6:9" x14ac:dyDescent="0.25">
      <c r="F41" s="30"/>
      <c r="G41" s="30" t="s">
        <v>74</v>
      </c>
      <c r="H41" s="30">
        <v>61</v>
      </c>
      <c r="I41" s="30">
        <v>2060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 Media</vt:lpstr>
      <vt:lpstr>Separate Pricing</vt:lpstr>
      <vt:lpstr>Pure Bundling</vt:lpstr>
      <vt:lpstr>Mixed Bundling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winston</dc:creator>
  <cp:lastModifiedBy>Kaur, Manvir</cp:lastModifiedBy>
  <dcterms:created xsi:type="dcterms:W3CDTF">2013-11-02T14:40:08Z</dcterms:created>
  <dcterms:modified xsi:type="dcterms:W3CDTF">2025-10-09T18:18:47Z</dcterms:modified>
</cp:coreProperties>
</file>