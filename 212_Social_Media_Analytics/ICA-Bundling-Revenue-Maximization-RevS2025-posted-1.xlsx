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vir Kaur\Downloads\"/>
    </mc:Choice>
  </mc:AlternateContent>
  <xr:revisionPtr revIDLastSave="0" documentId="13_ncr:1_{80183E26-19CB-4C9C-BF86-1F8DD29BA590}" xr6:coauthVersionLast="47" xr6:coauthVersionMax="47" xr10:uidLastSave="{00000000-0000-0000-0000-000000000000}"/>
  <bookViews>
    <workbookView xWindow="19665" yWindow="990" windowWidth="16005" windowHeight="20190" xr2:uid="{00000000-000D-0000-FFFF-FFFF00000000}"/>
  </bookViews>
  <sheets>
    <sheet name="Cloud Services" sheetId="1" r:id="rId1"/>
  </sheets>
  <definedNames>
    <definedName name="solver_adj" localSheetId="0" hidden="1">'Cloud Services'!$G$21:$I$21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'Cloud Services'!$G$21</definedName>
    <definedName name="solver_lhs2" localSheetId="0" hidden="1">'Cloud Services'!$G$21:$I$21</definedName>
    <definedName name="solver_lhs3" localSheetId="0" hidden="1">'Cloud Services'!$H$21</definedName>
    <definedName name="solver_lhs4" localSheetId="0" hidden="1">'Cloud Services'!$I$21</definedName>
    <definedName name="solver_lhs5" localSheetId="0" hidden="1">'Cloud Services'!$H$21</definedName>
    <definedName name="solver_mip" localSheetId="0" hidden="1">2147483647</definedName>
    <definedName name="solver_mni" localSheetId="0" hidden="1">30</definedName>
    <definedName name="solver_mrt" localSheetId="0" hidden="1">0.5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'Cloud Services'!$H$24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4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hs1" localSheetId="0" hidden="1">90</definedName>
    <definedName name="solver_rhs2" localSheetId="0" hidden="1">"integer"</definedName>
    <definedName name="solver_rhs3" localSheetId="0" hidden="1">90</definedName>
    <definedName name="solver_rhs4" localSheetId="0" hidden="1">130</definedName>
    <definedName name="solver_rhs5" localSheetId="0" hidden="1">90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</workbook>
</file>

<file path=xl/calcChain.xml><?xml version="1.0" encoding="utf-8"?>
<calcChain xmlns="http://schemas.openxmlformats.org/spreadsheetml/2006/main">
  <c r="T12" i="1" l="1"/>
  <c r="T11" i="1"/>
  <c r="Q12" i="1"/>
  <c r="Q13" i="1"/>
  <c r="Q14" i="1"/>
  <c r="Q11" i="1"/>
  <c r="H22" i="1"/>
  <c r="I22" i="1"/>
  <c r="G22" i="1"/>
  <c r="K11" i="1"/>
  <c r="M12" i="1" l="1"/>
  <c r="M13" i="1"/>
  <c r="M14" i="1"/>
  <c r="M11" i="1"/>
  <c r="L12" i="1"/>
  <c r="L13" i="1"/>
  <c r="L14" i="1"/>
  <c r="L11" i="1"/>
  <c r="K12" i="1"/>
  <c r="K13" i="1"/>
  <c r="K14" i="1"/>
  <c r="N11" i="1" l="1"/>
  <c r="N14" i="1"/>
  <c r="N13" i="1"/>
  <c r="N12" i="1"/>
  <c r="H24" i="1" l="1"/>
  <c r="O12" i="1"/>
  <c r="O13" i="1"/>
  <c r="O14" i="1"/>
  <c r="O11" i="1"/>
  <c r="Q16" i="1" l="1"/>
</calcChain>
</file>

<file path=xl/sharedStrings.xml><?xml version="1.0" encoding="utf-8"?>
<sst xmlns="http://schemas.openxmlformats.org/spreadsheetml/2006/main" count="39" uniqueCount="22">
  <si>
    <t>Marginal cost</t>
  </si>
  <si>
    <t>Price</t>
  </si>
  <si>
    <t xml:space="preserve"> </t>
  </si>
  <si>
    <t>Surplus for Bundle</t>
  </si>
  <si>
    <t xml:space="preserve">Customer Group    </t>
  </si>
  <si>
    <t>Max surplus product</t>
  </si>
  <si>
    <t>Product that is bought( if surplus is greater than zero), otherwise 0</t>
  </si>
  <si>
    <t>Consumer Surplus</t>
  </si>
  <si>
    <t>Consumer Value for product options</t>
  </si>
  <si>
    <t xml:space="preserve">Profits </t>
  </si>
  <si>
    <t>Assume 4 customers with each segment having 1 customer.</t>
  </si>
  <si>
    <t>Bundle</t>
  </si>
  <si>
    <t>Product #</t>
  </si>
  <si>
    <t>Total Profit/Revenue</t>
  </si>
  <si>
    <t xml:space="preserve">Maximum  $ value of Cloud </t>
  </si>
  <si>
    <t>Surplus for Cloud</t>
  </si>
  <si>
    <t>Cloud</t>
  </si>
  <si>
    <t xml:space="preserve">Maximum $ value of AI Token </t>
  </si>
  <si>
    <t>Max value $  Cloud + AI Token  (bundle)</t>
  </si>
  <si>
    <t xml:space="preserve">Surplus for AI Token </t>
  </si>
  <si>
    <t xml:space="preserve">AI Token 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</si>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</sst>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wrapText="1"/>
    </xf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5:Y31"/>
  <sheetViews>
    <sheetView tabSelected="1" topLeftCell="E1" zoomScale="112" zoomScaleNormal="112" workbookViewId="0">
      <selection activeCell="J6" sqref="J6"/>
    </sheetView>
  </sheetViews>
  <sheetFormatPr defaultColWidth="9.140625" defaultRowHeight="15" x14ac:dyDescent="0.25"/>
  <cols>
    <col min="1" max="5" width="9.140625" style="1"/>
    <col min="6" max="7" width="15.42578125" style="1" customWidth="1"/>
    <col min="8" max="8" width="10.28515625" style="1" customWidth="1"/>
    <col min="9" max="9" width="10.140625" style="1" customWidth="1"/>
    <col min="10" max="11" width="9.140625" style="1"/>
    <col min="12" max="12" width="10.42578125" style="1" customWidth="1"/>
    <col min="13" max="15" width="11.28515625" style="1" customWidth="1"/>
    <col min="16" max="16" width="9.140625" style="1"/>
    <col min="17" max="17" width="10.5703125" style="1" customWidth="1"/>
    <col min="18" max="16384" width="9.140625" style="1"/>
  </cols>
  <sheetData>
    <row r="5" spans="6:25" x14ac:dyDescent="0.25">
      <c r="G5" s="1" t="s">
        <v>8</v>
      </c>
      <c r="L5" s="1" t="s">
        <v>7</v>
      </c>
    </row>
    <row r="6" spans="6:25" ht="120" x14ac:dyDescent="0.25">
      <c r="G6" s="5" t="s">
        <v>14</v>
      </c>
      <c r="H6" s="5" t="s">
        <v>17</v>
      </c>
      <c r="I6" s="5" t="s">
        <v>18</v>
      </c>
      <c r="J6" s="2"/>
      <c r="K6" s="5" t="s">
        <v>15</v>
      </c>
      <c r="L6" s="5" t="s">
        <v>19</v>
      </c>
      <c r="M6" s="5" t="s">
        <v>3</v>
      </c>
      <c r="N6" s="2" t="s">
        <v>5</v>
      </c>
      <c r="O6" s="2" t="s">
        <v>6</v>
      </c>
      <c r="Q6" s="5" t="s">
        <v>9</v>
      </c>
    </row>
    <row r="7" spans="6:25" x14ac:dyDescent="0.25">
      <c r="G7" s="6"/>
      <c r="H7" s="6" t="s">
        <v>2</v>
      </c>
      <c r="I7" s="6" t="s">
        <v>2</v>
      </c>
      <c r="K7" s="6"/>
      <c r="L7" s="6"/>
      <c r="M7" s="6"/>
      <c r="Q7" s="6"/>
    </row>
    <row r="8" spans="6:25" x14ac:dyDescent="0.25">
      <c r="G8" s="6"/>
      <c r="H8" s="6"/>
      <c r="I8" s="6"/>
      <c r="K8" s="6"/>
      <c r="L8" s="6"/>
      <c r="M8" s="6"/>
      <c r="Q8" s="6"/>
    </row>
    <row r="9" spans="6:25" x14ac:dyDescent="0.25">
      <c r="G9" s="6">
        <v>1</v>
      </c>
      <c r="H9" s="6">
        <v>2</v>
      </c>
      <c r="I9" s="6">
        <v>3</v>
      </c>
      <c r="K9" s="6">
        <v>1</v>
      </c>
      <c r="L9" s="6">
        <v>2</v>
      </c>
      <c r="M9" s="6">
        <v>3</v>
      </c>
      <c r="Q9" s="6"/>
    </row>
    <row r="10" spans="6:25" ht="32.65" customHeight="1" x14ac:dyDescent="0.25">
      <c r="F10" s="2" t="s">
        <v>4</v>
      </c>
      <c r="G10" s="6" t="s">
        <v>2</v>
      </c>
      <c r="H10" s="6" t="s">
        <v>2</v>
      </c>
      <c r="I10" s="6" t="s">
        <v>2</v>
      </c>
      <c r="K10" s="6"/>
      <c r="L10" s="6"/>
      <c r="M10" s="6"/>
      <c r="Q10" s="6"/>
    </row>
    <row r="11" spans="6:25" x14ac:dyDescent="0.25">
      <c r="F11" s="3">
        <v>1</v>
      </c>
      <c r="G11" s="3">
        <v>90</v>
      </c>
      <c r="H11" s="3">
        <v>15</v>
      </c>
      <c r="I11" s="3">
        <v>105</v>
      </c>
      <c r="K11" s="3">
        <f>G11-$G$21</f>
        <v>0</v>
      </c>
      <c r="L11" s="3">
        <f>H11-$H$21</f>
        <v>-75</v>
      </c>
      <c r="M11" s="3">
        <f>I11-$I$21</f>
        <v>-25</v>
      </c>
      <c r="N11" s="3">
        <f>MAX(K11:M11)</f>
        <v>0</v>
      </c>
      <c r="O11" s="3">
        <f>MATCH(N11, K11:M11, 0)</f>
        <v>1</v>
      </c>
      <c r="Q11" s="3">
        <f>IFERROR(INDEX($G$22:$I$22,1,MATCH(O11,$G$19:$I$19,0)),0)</f>
        <v>90</v>
      </c>
      <c r="T11" s="1">
        <f>MATCH(N11, K11:M11, 0)</f>
        <v>1</v>
      </c>
      <c r="V11" s="1" t="s">
        <v>2</v>
      </c>
    </row>
    <row r="12" spans="6:25" x14ac:dyDescent="0.25">
      <c r="F12" s="3">
        <v>2</v>
      </c>
      <c r="G12" s="3">
        <v>80</v>
      </c>
      <c r="H12" s="3">
        <v>50</v>
      </c>
      <c r="I12" s="3">
        <v>130</v>
      </c>
      <c r="K12" s="3">
        <f t="shared" ref="K12:K14" si="0">G12-$G$21</f>
        <v>-10</v>
      </c>
      <c r="L12" s="3">
        <f t="shared" ref="L12:L14" si="1">H12-$H$21</f>
        <v>-40</v>
      </c>
      <c r="M12" s="3">
        <f t="shared" ref="M12:M14" si="2">I12-$I$21</f>
        <v>0</v>
      </c>
      <c r="N12" s="3">
        <f t="shared" ref="N12:N14" si="3">MAX(K12:M12)</f>
        <v>0</v>
      </c>
      <c r="O12" s="3">
        <f>MATCH(N12, K12:M12, 0)</f>
        <v>3</v>
      </c>
      <c r="Q12" s="3">
        <f t="shared" ref="Q12:Q14" si="4">IFERROR(INDEX($G$22:$I$22,1,MATCH(O12,$G$19:$I$19,0)),0)</f>
        <v>130</v>
      </c>
      <c r="T12" s="1">
        <f>IFERROR(INDEX(G22:I22, 1, MATCH(O11, G19:I19, 0)), 0)</f>
        <v>90</v>
      </c>
      <c r="V12" s="1" t="s">
        <v>2</v>
      </c>
    </row>
    <row r="13" spans="6:25" x14ac:dyDescent="0.25">
      <c r="F13" s="3">
        <v>3</v>
      </c>
      <c r="G13" s="3">
        <v>45</v>
      </c>
      <c r="H13" s="3">
        <v>85</v>
      </c>
      <c r="I13" s="3">
        <v>130</v>
      </c>
      <c r="K13" s="3">
        <f t="shared" si="0"/>
        <v>-45</v>
      </c>
      <c r="L13" s="3">
        <f t="shared" si="1"/>
        <v>-5</v>
      </c>
      <c r="M13" s="3">
        <f t="shared" si="2"/>
        <v>0</v>
      </c>
      <c r="N13" s="3">
        <f t="shared" si="3"/>
        <v>0</v>
      </c>
      <c r="O13" s="3">
        <f t="shared" ref="O13:O14" si="5">MATCH(N13, K13:M13, 0)</f>
        <v>3</v>
      </c>
      <c r="Q13" s="3">
        <f t="shared" si="4"/>
        <v>130</v>
      </c>
      <c r="V13" s="1" t="s">
        <v>2</v>
      </c>
    </row>
    <row r="14" spans="6:25" x14ac:dyDescent="0.25">
      <c r="F14" s="3">
        <v>4</v>
      </c>
      <c r="G14" s="3">
        <v>25</v>
      </c>
      <c r="H14" s="3">
        <v>90</v>
      </c>
      <c r="I14" s="3">
        <v>115</v>
      </c>
      <c r="K14" s="3">
        <f t="shared" si="0"/>
        <v>-65</v>
      </c>
      <c r="L14" s="3">
        <f t="shared" si="1"/>
        <v>0</v>
      </c>
      <c r="M14" s="3">
        <f t="shared" si="2"/>
        <v>-15</v>
      </c>
      <c r="N14" s="3">
        <f t="shared" si="3"/>
        <v>0</v>
      </c>
      <c r="O14" s="3">
        <f t="shared" si="5"/>
        <v>2</v>
      </c>
      <c r="Q14" s="3">
        <f t="shared" si="4"/>
        <v>90</v>
      </c>
      <c r="V14" s="1" t="s">
        <v>2</v>
      </c>
    </row>
    <row r="15" spans="6:25" x14ac:dyDescent="0.25">
      <c r="Y15" s="1" t="s">
        <v>2</v>
      </c>
    </row>
    <row r="16" spans="6:25" x14ac:dyDescent="0.25">
      <c r="Q16" s="3">
        <f>SUM(Q11:Q14)</f>
        <v>440</v>
      </c>
      <c r="Y16" s="1" t="s">
        <v>2</v>
      </c>
    </row>
    <row r="17" spans="6:24" x14ac:dyDescent="0.25">
      <c r="G17" s="4" t="s">
        <v>16</v>
      </c>
      <c r="H17" s="4" t="s">
        <v>20</v>
      </c>
      <c r="I17" s="4" t="s">
        <v>11</v>
      </c>
    </row>
    <row r="18" spans="6:24" x14ac:dyDescent="0.25">
      <c r="F18" s="7" t="s">
        <v>10</v>
      </c>
      <c r="G18" s="7"/>
      <c r="H18" s="7"/>
      <c r="I18" s="7"/>
      <c r="M18" s="3" t="s">
        <v>2</v>
      </c>
      <c r="O18" s="1" t="s">
        <v>2</v>
      </c>
    </row>
    <row r="19" spans="6:24" x14ac:dyDescent="0.25">
      <c r="F19" s="7" t="s">
        <v>12</v>
      </c>
      <c r="G19" s="7">
        <v>1</v>
      </c>
      <c r="H19" s="7">
        <v>2</v>
      </c>
      <c r="I19" s="7">
        <v>3</v>
      </c>
      <c r="M19" s="3" t="s">
        <v>2</v>
      </c>
      <c r="O19" s="1" t="s">
        <v>2</v>
      </c>
    </row>
    <row r="20" spans="6:24" x14ac:dyDescent="0.25">
      <c r="F20" s="7" t="s">
        <v>0</v>
      </c>
      <c r="G20" s="7">
        <v>0</v>
      </c>
      <c r="H20" s="7">
        <v>0</v>
      </c>
      <c r="I20" s="7">
        <v>0</v>
      </c>
      <c r="O20" s="1" t="s">
        <v>2</v>
      </c>
    </row>
    <row r="21" spans="6:24" x14ac:dyDescent="0.25">
      <c r="F21" s="3" t="s">
        <v>1</v>
      </c>
      <c r="G21" s="8">
        <v>90</v>
      </c>
      <c r="H21" s="8">
        <v>90</v>
      </c>
      <c r="I21" s="8">
        <v>130</v>
      </c>
      <c r="O21" s="1" t="s">
        <v>2</v>
      </c>
    </row>
    <row r="22" spans="6:24" x14ac:dyDescent="0.25">
      <c r="F22" s="3" t="s">
        <v>21</v>
      </c>
      <c r="G22" s="3">
        <f>G21-G20</f>
        <v>90</v>
      </c>
      <c r="H22" s="3">
        <f t="shared" ref="H22:I22" si="6">H21-H20</f>
        <v>90</v>
      </c>
      <c r="I22" s="3">
        <f t="shared" si="6"/>
        <v>130</v>
      </c>
    </row>
    <row r="23" spans="6:24" x14ac:dyDescent="0.25">
      <c r="F23" s="7" t="s">
        <v>2</v>
      </c>
      <c r="G23" s="7"/>
      <c r="H23" s="7"/>
      <c r="I23" s="7"/>
    </row>
    <row r="24" spans="6:24" x14ac:dyDescent="0.25">
      <c r="F24" s="7" t="s">
        <v>13</v>
      </c>
      <c r="G24" s="7"/>
      <c r="H24" s="8">
        <f>SUM(Q11:Q14)</f>
        <v>440</v>
      </c>
      <c r="I24" s="7"/>
    </row>
    <row r="26" spans="6:24" x14ac:dyDescent="0.25"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</row>
    <row r="27" spans="6:24" x14ac:dyDescent="0.25"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</row>
    <row r="28" spans="6:24" x14ac:dyDescent="0.25"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6:24" x14ac:dyDescent="0.25"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6:24" x14ac:dyDescent="0.25"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6:24" x14ac:dyDescent="0.25"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Cloud 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</dc:creator>
  <cp:lastModifiedBy>Kaur, Manvir</cp:lastModifiedBy>
  <dcterms:created xsi:type="dcterms:W3CDTF">2013-11-02T14:40:08Z</dcterms:created>
  <dcterms:modified xsi:type="dcterms:W3CDTF">2025-10-03T02:44:52Z</dcterms:modified>
</cp:coreProperties>
</file>