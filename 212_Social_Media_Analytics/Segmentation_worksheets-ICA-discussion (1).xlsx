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virkaur/Downloads/"/>
    </mc:Choice>
  </mc:AlternateContent>
  <xr:revisionPtr revIDLastSave="0" documentId="13_ncr:1_{E1A81F1F-D0C8-AC4B-A8DC-85D5C480B6E5}" xr6:coauthVersionLast="47" xr6:coauthVersionMax="47" xr10:uidLastSave="{00000000-0000-0000-0000-000000000000}"/>
  <bookViews>
    <workbookView xWindow="20" yWindow="580" windowWidth="25360" windowHeight="16360" xr2:uid="{00000000-000D-0000-FFFF-FFFF00000000}"/>
  </bookViews>
  <sheets>
    <sheet name="Profit_Impact" sheetId="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Profit_Impact!#REF!</definedName>
    <definedName name="solver_typ" localSheetId="0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2" l="1"/>
  <c r="E15" i="2" s="1"/>
  <c r="E18" i="2" s="1"/>
  <c r="D15" i="2"/>
  <c r="C15" i="2"/>
  <c r="C18" i="2" s="1"/>
  <c r="E24" i="2" l="1"/>
  <c r="E21" i="2"/>
  <c r="D18" i="2"/>
  <c r="D24" i="2" s="1"/>
  <c r="F15" i="2"/>
  <c r="F14" i="2" s="1"/>
  <c r="F18" i="2"/>
  <c r="C21" i="2"/>
  <c r="C24" i="2"/>
  <c r="E25" i="2" l="1"/>
  <c r="B40" i="2"/>
  <c r="D21" i="2"/>
  <c r="C25" i="2"/>
  <c r="F24" i="2"/>
  <c r="F23" i="2" s="1"/>
  <c r="F17" i="2"/>
  <c r="B44" i="2" l="1"/>
  <c r="D41" i="2"/>
  <c r="D25" i="2"/>
  <c r="F25" i="2" s="1"/>
  <c r="F21" i="2"/>
</calcChain>
</file>

<file path=xl/sharedStrings.xml><?xml version="1.0" encoding="utf-8"?>
<sst xmlns="http://schemas.openxmlformats.org/spreadsheetml/2006/main" count="32" uniqueCount="32">
  <si>
    <t>Percent Margin</t>
  </si>
  <si>
    <t xml:space="preserve"> </t>
  </si>
  <si>
    <t>Mass Market</t>
  </si>
  <si>
    <t>Strategy</t>
  </si>
  <si>
    <t>Average Price</t>
  </si>
  <si>
    <t>Sales Revenues</t>
  </si>
  <si>
    <t>Gross Profit</t>
  </si>
  <si>
    <t>Market Share of the business</t>
  </si>
  <si>
    <t>Unit Volume of the business</t>
  </si>
  <si>
    <t>Business Strategy</t>
  </si>
  <si>
    <t>Sales Expenses (% sales)</t>
  </si>
  <si>
    <t>Compute the average price, sales revenues, percent margin, gross profit,  Sales Expenses, etc.</t>
  </si>
  <si>
    <t>Divide and Conquer Strategy</t>
  </si>
  <si>
    <t>Premium Users</t>
  </si>
  <si>
    <t>Value Users</t>
  </si>
  <si>
    <t xml:space="preserve">Divide and Conquer Strategy </t>
  </si>
  <si>
    <t>Summary</t>
  </si>
  <si>
    <t>Profit Impact of targeting different groups of users</t>
  </si>
  <si>
    <t>Market  Demand (units)</t>
  </si>
  <si>
    <t>Sales Expenses $</t>
  </si>
  <si>
    <t>for the premium and value groups. Calculate the figures for the overall summary.</t>
  </si>
  <si>
    <t>Evaluating Profitability of Business Strategy</t>
  </si>
  <si>
    <t>Net Profit</t>
  </si>
  <si>
    <t>Note: All shaded cells without numbers  could be filled out by calculations or based on numbers from other cells.</t>
  </si>
  <si>
    <r>
      <rPr>
        <b/>
        <sz val="10"/>
        <color theme="3"/>
        <rFont val="Arial"/>
        <family val="2"/>
      </rPr>
      <t>Mass market</t>
    </r>
    <r>
      <rPr>
        <sz val="10"/>
        <rFont val="Arial"/>
        <family val="2"/>
      </rPr>
      <t xml:space="preserve"> strategy is the "one size fits all" kind of strategy.</t>
    </r>
  </si>
  <si>
    <t>*cannot add % across</t>
  </si>
  <si>
    <t>(this value must become 0)</t>
  </si>
  <si>
    <t>Goal Seek (What-if analysis ---&gt; Goal Seek)</t>
  </si>
  <si>
    <t>*a "what-if" analysis tool that finds the input value needed to achieve a specific result in a formula</t>
  </si>
  <si>
    <t>*I improved my profit from $22,500,000 to $27,000,000 from shifting from Mass Market Startegy to Divide &amp; Conquer Strategy.</t>
  </si>
  <si>
    <r>
      <t xml:space="preserve">A business is evaluating two different strategies: </t>
    </r>
    <r>
      <rPr>
        <b/>
        <sz val="10"/>
        <color theme="3"/>
        <rFont val="Arial"/>
        <family val="2"/>
      </rPr>
      <t>Mass Market</t>
    </r>
    <r>
      <rPr>
        <sz val="10"/>
        <rFont val="Arial"/>
        <family val="2"/>
      </rPr>
      <t xml:space="preserve"> and "</t>
    </r>
    <r>
      <rPr>
        <b/>
        <sz val="10"/>
        <color theme="3"/>
        <rFont val="Arial"/>
        <family val="2"/>
      </rPr>
      <t>Divide and Conquer</t>
    </r>
    <r>
      <rPr>
        <sz val="10"/>
        <rFont val="Arial"/>
        <family val="2"/>
      </rPr>
      <t>"</t>
    </r>
    <r>
      <rPr>
        <b/>
        <sz val="10"/>
        <color theme="3"/>
        <rFont val="Arial"/>
        <family val="2"/>
      </rPr>
      <t xml:space="preserve"> (D&amp;C) </t>
    </r>
    <r>
      <rPr>
        <sz val="10"/>
        <rFont val="Arial"/>
        <family val="2"/>
      </rPr>
      <t xml:space="preserve"> Strategy. </t>
    </r>
  </si>
  <si>
    <r>
      <t xml:space="preserve">The </t>
    </r>
    <r>
      <rPr>
        <b/>
        <sz val="10"/>
        <color theme="3"/>
        <rFont val="Arial"/>
        <family val="2"/>
      </rPr>
      <t>D&amp;C</t>
    </r>
    <r>
      <rPr>
        <sz val="10"/>
        <rFont val="Arial"/>
        <family val="2"/>
      </rPr>
      <t xml:space="preserve"> strategy involves targeting two distinct segments (groups of users)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</si>
</sst>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"/>
    <numFmt numFmtId="166" formatCode="0.0%"/>
    <numFmt numFmtId="168" formatCode="&quot;$&quot;#,##0.0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0"/>
      <color theme="3"/>
      <name val="Arial"/>
      <family val="2"/>
    </font>
    <font>
      <sz val="10"/>
      <color theme="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9" fillId="0" borderId="0" xfId="0" applyFont="1"/>
    <xf numFmtId="6" fontId="2" fillId="4" borderId="1" xfId="0" applyNumberFormat="1" applyFont="1" applyFill="1" applyBorder="1" applyAlignment="1">
      <alignment horizontal="center"/>
    </xf>
    <xf numFmtId="166" fontId="2" fillId="4" borderId="14" xfId="1" applyNumberFormat="1" applyFont="1" applyFill="1" applyBorder="1" applyAlignment="1">
      <alignment horizontal="center"/>
    </xf>
    <xf numFmtId="3" fontId="2" fillId="4" borderId="14" xfId="0" applyNumberFormat="1" applyFont="1" applyFill="1" applyBorder="1" applyAlignment="1">
      <alignment horizontal="center"/>
    </xf>
    <xf numFmtId="165" fontId="2" fillId="4" borderId="14" xfId="0" applyNumberFormat="1" applyFont="1" applyFill="1" applyBorder="1" applyAlignment="1">
      <alignment horizontal="center"/>
    </xf>
    <xf numFmtId="6" fontId="2" fillId="4" borderId="13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3" fontId="2" fillId="3" borderId="21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1" fillId="0" borderId="0" xfId="0" applyFont="1"/>
    <xf numFmtId="3" fontId="2" fillId="3" borderId="20" xfId="0" applyNumberFormat="1" applyFont="1" applyFill="1" applyBorder="1" applyAlignment="1">
      <alignment horizontal="center"/>
    </xf>
    <xf numFmtId="3" fontId="2" fillId="4" borderId="22" xfId="0" applyNumberFormat="1" applyFont="1" applyFill="1" applyBorder="1" applyAlignment="1">
      <alignment horizontal="center"/>
    </xf>
    <xf numFmtId="166" fontId="2" fillId="3" borderId="13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8" fontId="2" fillId="3" borderId="1" xfId="0" applyNumberFormat="1" applyFont="1" applyFill="1" applyBorder="1" applyAlignment="1">
      <alignment horizontal="center"/>
    </xf>
    <xf numFmtId="166" fontId="2" fillId="4" borderId="13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0" fontId="1" fillId="0" borderId="8" xfId="0" applyFont="1" applyBorder="1"/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7" fillId="2" borderId="10" xfId="0" applyFont="1" applyFill="1" applyBorder="1"/>
    <xf numFmtId="0" fontId="6" fillId="2" borderId="26" xfId="0" applyFont="1" applyFill="1" applyBorder="1"/>
    <xf numFmtId="0" fontId="1" fillId="0" borderId="26" xfId="0" applyFont="1" applyBorder="1"/>
    <xf numFmtId="0" fontId="8" fillId="0" borderId="26" xfId="0" applyFont="1" applyBorder="1"/>
    <xf numFmtId="0" fontId="1" fillId="0" borderId="26" xfId="0" applyFont="1" applyBorder="1" applyAlignment="1">
      <alignment horizontal="left"/>
    </xf>
    <xf numFmtId="0" fontId="1" fillId="0" borderId="27" xfId="0" applyFont="1" applyBorder="1"/>
    <xf numFmtId="3" fontId="4" fillId="5" borderId="23" xfId="0" applyNumberFormat="1" applyFont="1" applyFill="1" applyBorder="1" applyAlignment="1">
      <alignment horizontal="center"/>
    </xf>
    <xf numFmtId="166" fontId="4" fillId="5" borderId="18" xfId="0" applyNumberFormat="1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8" fontId="4" fillId="5" borderId="18" xfId="0" applyNumberFormat="1" applyFont="1" applyFill="1" applyBorder="1" applyAlignment="1">
      <alignment horizontal="center"/>
    </xf>
    <xf numFmtId="6" fontId="4" fillId="5" borderId="18" xfId="0" applyNumberFormat="1" applyFont="1" applyFill="1" applyBorder="1" applyAlignment="1">
      <alignment horizontal="center"/>
    </xf>
    <xf numFmtId="164" fontId="2" fillId="4" borderId="17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6" fontId="4" fillId="4" borderId="19" xfId="0" applyNumberFormat="1" applyFont="1" applyFill="1" applyBorder="1" applyAlignment="1">
      <alignment horizontal="center"/>
    </xf>
    <xf numFmtId="6" fontId="4" fillId="4" borderId="16" xfId="0" applyNumberFormat="1" applyFont="1" applyFill="1" applyBorder="1" applyAlignment="1">
      <alignment horizontal="center"/>
    </xf>
    <xf numFmtId="8" fontId="2" fillId="6" borderId="13" xfId="0" applyNumberFormat="1" applyFont="1" applyFill="1" applyBorder="1" applyAlignment="1">
      <alignment horizontal="center"/>
    </xf>
    <xf numFmtId="8" fontId="2" fillId="4" borderId="13" xfId="0" applyNumberFormat="1" applyFont="1" applyFill="1" applyBorder="1" applyAlignment="1">
      <alignment horizontal="center"/>
    </xf>
    <xf numFmtId="168" fontId="0" fillId="0" borderId="0" xfId="0" applyNumberFormat="1"/>
    <xf numFmtId="6" fontId="0" fillId="0" borderId="0" xfId="0" applyNumberFormat="1"/>
    <xf numFmtId="0" fontId="11" fillId="0" borderId="0" xfId="0" applyFont="1"/>
    <xf numFmtId="0" fontId="3" fillId="6" borderId="0" xfId="0" applyFont="1" applyFill="1"/>
    <xf numFmtId="6" fontId="2" fillId="4" borderId="1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6"/>
  <sheetViews>
    <sheetView tabSelected="1" topLeftCell="A25" zoomScale="130" zoomScaleNormal="130" workbookViewId="0">
      <selection activeCell="K19" sqref="K19"/>
    </sheetView>
  </sheetViews>
  <sheetFormatPr baseColWidth="10" defaultColWidth="8.83203125" defaultRowHeight="13" x14ac:dyDescent="0.15"/>
  <cols>
    <col min="1" max="1" width="9.33203125" customWidth="1"/>
    <col min="2" max="2" width="32.6640625" customWidth="1"/>
    <col min="3" max="3" width="21" customWidth="1"/>
    <col min="4" max="5" width="17.33203125" customWidth="1"/>
    <col min="6" max="6" width="23" customWidth="1"/>
    <col min="7" max="7" width="6.33203125" hidden="1" customWidth="1"/>
    <col min="8" max="8" width="5.1640625" customWidth="1"/>
    <col min="9" max="9" width="4.33203125" customWidth="1"/>
    <col min="10" max="10" width="4.1640625" customWidth="1"/>
    <col min="11" max="11" width="12.6640625" bestFit="1" customWidth="1"/>
    <col min="13" max="13" width="11.6640625" bestFit="1" customWidth="1"/>
    <col min="14" max="14" width="10.33203125" bestFit="1" customWidth="1"/>
  </cols>
  <sheetData>
    <row r="2" spans="1:7" ht="25" x14ac:dyDescent="0.25">
      <c r="A2" s="11" t="s">
        <v>21</v>
      </c>
      <c r="B2" s="11"/>
    </row>
    <row r="3" spans="1:7" ht="25" x14ac:dyDescent="0.25">
      <c r="A3" s="11"/>
      <c r="B3" s="11"/>
    </row>
    <row r="4" spans="1:7" x14ac:dyDescent="0.15">
      <c r="A4" s="25" t="s">
        <v>30</v>
      </c>
    </row>
    <row r="5" spans="1:7" x14ac:dyDescent="0.15">
      <c r="A5" s="25" t="s">
        <v>31</v>
      </c>
    </row>
    <row r="6" spans="1:7" x14ac:dyDescent="0.15">
      <c r="A6" s="25" t="s">
        <v>24</v>
      </c>
    </row>
    <row r="7" spans="1:7" ht="14" thickBot="1" x14ac:dyDescent="0.2"/>
    <row r="8" spans="1:7" ht="14" thickTop="1" x14ac:dyDescent="0.15">
      <c r="A8" s="1"/>
      <c r="B8" s="2"/>
      <c r="C8" s="2"/>
      <c r="D8" s="2"/>
      <c r="E8" s="2"/>
      <c r="F8" s="2"/>
      <c r="G8" s="3"/>
    </row>
    <row r="9" spans="1:7" ht="18" x14ac:dyDescent="0.2">
      <c r="A9" s="4"/>
      <c r="B9" s="10" t="s">
        <v>17</v>
      </c>
      <c r="C9" s="10"/>
      <c r="E9" s="25" t="s">
        <v>25</v>
      </c>
      <c r="G9" s="6"/>
    </row>
    <row r="10" spans="1:7" ht="14" thickBot="1" x14ac:dyDescent="0.2">
      <c r="A10" s="4"/>
      <c r="B10" s="5" t="s">
        <v>1</v>
      </c>
      <c r="G10" s="6"/>
    </row>
    <row r="11" spans="1:7" ht="18.75" customHeight="1" thickTop="1" x14ac:dyDescent="0.15">
      <c r="A11" s="4"/>
      <c r="B11" s="40" t="s">
        <v>9</v>
      </c>
      <c r="C11" s="38" t="s">
        <v>2</v>
      </c>
      <c r="D11" s="52" t="s">
        <v>12</v>
      </c>
      <c r="E11" s="53"/>
      <c r="F11" s="23" t="s">
        <v>15</v>
      </c>
      <c r="G11" s="6"/>
    </row>
    <row r="12" spans="1:7" ht="16.5" customHeight="1" thickBot="1" x14ac:dyDescent="0.2">
      <c r="A12" s="4"/>
      <c r="B12" s="41"/>
      <c r="C12" s="39" t="s">
        <v>3</v>
      </c>
      <c r="D12" s="21" t="s">
        <v>13</v>
      </c>
      <c r="E12" s="22" t="s">
        <v>14</v>
      </c>
      <c r="F12" s="24" t="s">
        <v>16</v>
      </c>
      <c r="G12" s="6"/>
    </row>
    <row r="13" spans="1:7" ht="16" customHeight="1" thickTop="1" x14ac:dyDescent="0.15">
      <c r="A13" s="4"/>
      <c r="B13" s="42" t="s">
        <v>18</v>
      </c>
      <c r="C13" s="46">
        <v>3000000</v>
      </c>
      <c r="D13" s="26">
        <v>1000000</v>
      </c>
      <c r="E13" s="20">
        <f>F13-D13</f>
        <v>2000000</v>
      </c>
      <c r="F13" s="27">
        <v>3000000</v>
      </c>
      <c r="G13" s="6"/>
    </row>
    <row r="14" spans="1:7" ht="16" customHeight="1" x14ac:dyDescent="0.15">
      <c r="A14" s="4"/>
      <c r="B14" s="43" t="s">
        <v>7</v>
      </c>
      <c r="C14" s="47">
        <v>0.05</v>
      </c>
      <c r="D14" s="28">
        <v>0.03</v>
      </c>
      <c r="E14" s="29">
        <v>0.15</v>
      </c>
      <c r="F14" s="13">
        <f>F15/F13</f>
        <v>0.11</v>
      </c>
      <c r="G14" s="6"/>
    </row>
    <row r="15" spans="1:7" ht="16" customHeight="1" x14ac:dyDescent="0.15">
      <c r="A15" s="4"/>
      <c r="B15" s="43" t="s">
        <v>8</v>
      </c>
      <c r="C15" s="48">
        <f>C13*C14</f>
        <v>150000</v>
      </c>
      <c r="D15" s="30">
        <f>D13*D14</f>
        <v>30000</v>
      </c>
      <c r="E15" s="31">
        <f>E13*E14</f>
        <v>300000</v>
      </c>
      <c r="F15" s="14">
        <f>D15+E15</f>
        <v>330000</v>
      </c>
      <c r="G15" s="6"/>
    </row>
    <row r="16" spans="1:7" ht="16" customHeight="1" x14ac:dyDescent="0.15">
      <c r="A16" s="4"/>
      <c r="B16" s="43"/>
      <c r="C16" s="48"/>
      <c r="D16" s="18"/>
      <c r="E16" s="32"/>
      <c r="F16" s="33"/>
      <c r="G16" s="6"/>
    </row>
    <row r="17" spans="1:7" ht="16" customHeight="1" x14ac:dyDescent="0.15">
      <c r="A17" s="4"/>
      <c r="B17" s="43" t="s">
        <v>4</v>
      </c>
      <c r="C17" s="49">
        <v>1500</v>
      </c>
      <c r="D17" s="56">
        <v>2250</v>
      </c>
      <c r="E17" s="34">
        <v>900</v>
      </c>
      <c r="F17" s="15">
        <f>F18/F15</f>
        <v>1022.7272727272727</v>
      </c>
      <c r="G17" s="6"/>
    </row>
    <row r="18" spans="1:7" ht="16" customHeight="1" x14ac:dyDescent="0.15">
      <c r="A18" s="4"/>
      <c r="B18" s="43" t="s">
        <v>5</v>
      </c>
      <c r="C18" s="50">
        <f>C15*C17</f>
        <v>225000000</v>
      </c>
      <c r="D18" s="57">
        <f>D15*D17</f>
        <v>67500000</v>
      </c>
      <c r="E18" s="12">
        <f>E17*E15</f>
        <v>270000000</v>
      </c>
      <c r="F18" s="17">
        <f>D18+E18</f>
        <v>337500000</v>
      </c>
      <c r="G18" s="6"/>
    </row>
    <row r="19" spans="1:7" ht="16" customHeight="1" x14ac:dyDescent="0.15">
      <c r="A19" s="4"/>
      <c r="B19" s="43"/>
      <c r="C19" s="48"/>
      <c r="D19" s="18"/>
      <c r="E19" s="32"/>
      <c r="F19" s="19"/>
      <c r="G19" s="6"/>
    </row>
    <row r="20" spans="1:7" ht="16" customHeight="1" x14ac:dyDescent="0.15">
      <c r="A20" s="4"/>
      <c r="B20" s="43" t="s">
        <v>0</v>
      </c>
      <c r="C20" s="47">
        <v>0.25</v>
      </c>
      <c r="D20" s="28">
        <v>0.4</v>
      </c>
      <c r="E20" s="29">
        <v>0.15</v>
      </c>
      <c r="F20" s="13">
        <v>0.2</v>
      </c>
      <c r="G20" s="6"/>
    </row>
    <row r="21" spans="1:7" ht="16" customHeight="1" x14ac:dyDescent="0.15">
      <c r="A21" s="4"/>
      <c r="B21" s="43" t="s">
        <v>6</v>
      </c>
      <c r="C21" s="50">
        <f>C18*C20</f>
        <v>56250000</v>
      </c>
      <c r="D21" s="16">
        <f>D18*D20</f>
        <v>27000000</v>
      </c>
      <c r="E21" s="12">
        <f>E18*E20</f>
        <v>40500000</v>
      </c>
      <c r="F21" s="17">
        <f>D21+E21</f>
        <v>67500000</v>
      </c>
      <c r="G21" s="6"/>
    </row>
    <row r="22" spans="1:7" ht="16" customHeight="1" x14ac:dyDescent="0.15">
      <c r="A22" s="4"/>
      <c r="B22" s="43"/>
      <c r="C22" s="48"/>
      <c r="D22" s="18"/>
      <c r="E22" s="32"/>
      <c r="F22" s="19"/>
      <c r="G22" s="6"/>
    </row>
    <row r="23" spans="1:7" ht="16" customHeight="1" x14ac:dyDescent="0.15">
      <c r="A23" s="4"/>
      <c r="B23" s="42" t="s">
        <v>10</v>
      </c>
      <c r="C23" s="47">
        <v>0.15</v>
      </c>
      <c r="D23" s="35">
        <v>0.2</v>
      </c>
      <c r="E23" s="36">
        <v>0.1</v>
      </c>
      <c r="F23" s="13">
        <f>F24/F18</f>
        <v>0.12</v>
      </c>
      <c r="G23" s="6"/>
    </row>
    <row r="24" spans="1:7" ht="16" customHeight="1" x14ac:dyDescent="0.15">
      <c r="A24" s="4"/>
      <c r="B24" s="44" t="s">
        <v>19</v>
      </c>
      <c r="C24" s="50">
        <f>C23*C18</f>
        <v>33750000</v>
      </c>
      <c r="D24" s="12">
        <f>D18*D23</f>
        <v>13500000</v>
      </c>
      <c r="E24" s="12">
        <f>E18*E23</f>
        <v>27000000</v>
      </c>
      <c r="F24" s="62">
        <f>D24+E24</f>
        <v>40500000</v>
      </c>
      <c r="G24" s="6"/>
    </row>
    <row r="25" spans="1:7" ht="16" customHeight="1" thickBot="1" x14ac:dyDescent="0.2">
      <c r="A25" s="4"/>
      <c r="B25" s="45" t="s">
        <v>22</v>
      </c>
      <c r="C25" s="54">
        <f>C21-C24</f>
        <v>22500000</v>
      </c>
      <c r="D25" s="55">
        <f>D21-D24</f>
        <v>13500000</v>
      </c>
      <c r="E25" s="55">
        <f>E21-E24</f>
        <v>13500000</v>
      </c>
      <c r="F25" s="51">
        <f>D25+E25</f>
        <v>27000000</v>
      </c>
      <c r="G25" s="6"/>
    </row>
    <row r="26" spans="1:7" ht="14" thickTop="1" x14ac:dyDescent="0.15">
      <c r="A26" s="4"/>
      <c r="G26" s="6"/>
    </row>
    <row r="27" spans="1:7" x14ac:dyDescent="0.15">
      <c r="A27" s="4"/>
      <c r="B27" s="25" t="s">
        <v>23</v>
      </c>
      <c r="G27" s="6"/>
    </row>
    <row r="28" spans="1:7" x14ac:dyDescent="0.15">
      <c r="A28" s="4"/>
      <c r="B28" s="25" t="s">
        <v>11</v>
      </c>
      <c r="G28" s="6"/>
    </row>
    <row r="29" spans="1:7" ht="14" thickBot="1" x14ac:dyDescent="0.2">
      <c r="A29" s="7"/>
      <c r="B29" s="37" t="s">
        <v>20</v>
      </c>
      <c r="C29" s="8"/>
      <c r="D29" s="8"/>
      <c r="E29" s="8"/>
      <c r="F29" s="8"/>
      <c r="G29" s="9"/>
    </row>
    <row r="30" spans="1:7" ht="14" thickTop="1" x14ac:dyDescent="0.15">
      <c r="B30" s="5"/>
    </row>
    <row r="31" spans="1:7" x14ac:dyDescent="0.15">
      <c r="B31" s="5"/>
    </row>
    <row r="32" spans="1:7" x14ac:dyDescent="0.15">
      <c r="B32" s="5"/>
    </row>
    <row r="33" spans="2:5" x14ac:dyDescent="0.15">
      <c r="B33" s="5"/>
    </row>
    <row r="34" spans="2:5" x14ac:dyDescent="0.15">
      <c r="B34" s="5"/>
    </row>
    <row r="35" spans="2:5" x14ac:dyDescent="0.15">
      <c r="B35" s="5"/>
    </row>
    <row r="36" spans="2:5" x14ac:dyDescent="0.15">
      <c r="B36" s="5"/>
    </row>
    <row r="37" spans="2:5" x14ac:dyDescent="0.15">
      <c r="B37" s="61" t="s">
        <v>27</v>
      </c>
    </row>
    <row r="38" spans="2:5" x14ac:dyDescent="0.15">
      <c r="B38" s="60" t="s">
        <v>28</v>
      </c>
    </row>
    <row r="40" spans="2:5" x14ac:dyDescent="0.15">
      <c r="B40" s="58">
        <f>F20*F18</f>
        <v>67500000</v>
      </c>
    </row>
    <row r="41" spans="2:5" x14ac:dyDescent="0.15">
      <c r="D41" s="58">
        <f>B40-B44</f>
        <v>0</v>
      </c>
      <c r="E41" s="25" t="s">
        <v>26</v>
      </c>
    </row>
    <row r="44" spans="2:5" x14ac:dyDescent="0.15">
      <c r="B44" s="59">
        <f>D21+E21</f>
        <v>67500000</v>
      </c>
    </row>
    <row r="45" spans="2:5" x14ac:dyDescent="0.15">
      <c r="B45" s="59"/>
    </row>
    <row r="46" spans="2:5" x14ac:dyDescent="0.15">
      <c r="B46" s="60" t="s">
        <v>29</v>
      </c>
    </row>
  </sheetData>
  <mergeCells count="1">
    <mergeCell ref="D11:E11"/>
  </mergeCells>
  <phoneticPr fontId="2" type="noConversion"/>
  <pageMargins left="0.67" right="0.24" top="0.85" bottom="0.61" header="0.23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Profit_Impact</vt:lpstr>
    </vt:vector>
  </TitlesOfParts>
  <Company>CSUS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Kaur, Manvir</cp:lastModifiedBy>
  <cp:lastPrinted>2019-03-22T01:50:21Z</cp:lastPrinted>
  <dcterms:created xsi:type="dcterms:W3CDTF">2007-09-02T22:43:26Z</dcterms:created>
  <dcterms:modified xsi:type="dcterms:W3CDTF">2025-12-02T16:38:52Z</dcterms:modified>
</cp:coreProperties>
</file>