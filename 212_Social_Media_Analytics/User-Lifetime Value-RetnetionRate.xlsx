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codeName="ThisWorkbook" defaultThemeVersion="124226"/>
  <mc:AlternateContent xmlns:mc="http://schemas.openxmlformats.org/markup-compatibility/2006">
    <mc:Choice Requires="x15">
      <x15ac:absPath xmlns:x15ac="http://schemas.microsoft.com/office/spreadsheetml/2010/11/ac" url="/Users/manvirkaur/Downloads/"/>
    </mc:Choice>
  </mc:AlternateContent>
  <xr:revisionPtr revIDLastSave="0" documentId="8_{0B995E0B-BEF6-DD47-B9EB-F5C5CC104016}" xr6:coauthVersionLast="47" xr6:coauthVersionMax="47" xr10:uidLastSave="{00000000-0000-0000-0000-000000000000}"/>
  <bookViews>
    <workbookView xWindow="40" yWindow="500" windowWidth="23820" windowHeight="16360" xr2:uid="{00000000-000D-0000-FFFF-FFFF00000000}"/>
  </bookViews>
  <sheets>
    <sheet name=" ICA-ULTV" sheetId="3" r:id="rId1"/>
  </sheet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solver_adj" localSheetId="0" hidden="1">' ICA-ULTV'!$S$10</definedName>
    <definedName name="solver_cvg" localSheetId="0" hidden="1">0.0001</definedName>
    <definedName name="solver_drv" localSheetId="0" hidden="1">1</definedName>
    <definedName name="solver_eng" localSheetId="0" hidden="1">1</definedName>
    <definedName name="solver_est" localSheetId="0" hidden="1">1</definedName>
    <definedName name="solver_itr" localSheetId="0" hidden="1">2147483647</definedName>
    <definedName name="solver_lhs1" localSheetId="0" hidden="1">' ICA-ULTV'!$W$29</definedName>
    <definedName name="solver_lhs2" localSheetId="0" hidden="1">' ICA-ULTV'!$W$30</definedName>
    <definedName name="solver_lhs3" localSheetId="0" hidden="1">' ICA-ULTV'!$W$30</definedName>
    <definedName name="solver_lhs4" localSheetId="0" hidden="1">' ICA-ULTV'!$W$30</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nwt" localSheetId="0" hidden="1">1</definedName>
    <definedName name="solver_opt" localSheetId="0" hidden="1">' ICA-ULTV'!$U$24</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el3" localSheetId="0" hidden="1">1</definedName>
    <definedName name="solver_rel4" localSheetId="0" hidden="1">3</definedName>
    <definedName name="solver_rhs1" localSheetId="0" hidden="1">100</definedName>
    <definedName name="solver_rhs2" localSheetId="0" hidden="1">50</definedName>
    <definedName name="solver_rhs3" localSheetId="0" hidden="1">50</definedName>
    <definedName name="solver_rhs4" localSheetId="0" hidden="1">20</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2</definedName>
    <definedName name="solver_val" localSheetId="0" hidden="1">0</definedName>
    <definedName name="solver_ver" localSheetId="0" hidden="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U11" i="3" l="1"/>
  <c r="D21" i="3"/>
  <c r="D20" i="3"/>
  <c r="I13" i="3"/>
  <c r="I14" i="3" s="1"/>
  <c r="J13" i="3"/>
  <c r="J14" i="3" s="1"/>
  <c r="K13" i="3"/>
  <c r="K14" i="3" s="1"/>
  <c r="K17" i="3"/>
  <c r="K18" i="3" s="1"/>
  <c r="I17" i="3"/>
  <c r="I18" i="3" s="1"/>
  <c r="J17" i="3"/>
  <c r="J18" i="3" s="1"/>
  <c r="D17" i="3"/>
  <c r="D18" i="3" s="1"/>
  <c r="H12" i="3"/>
  <c r="H13" i="3" s="1"/>
  <c r="H14" i="3" s="1"/>
  <c r="G12" i="3"/>
  <c r="G13" i="3" s="1"/>
  <c r="G14" i="3" s="1"/>
  <c r="F12" i="3"/>
  <c r="F17" i="3" s="1"/>
  <c r="F18" i="3" s="1"/>
  <c r="E12" i="3"/>
  <c r="E17" i="3" s="1"/>
  <c r="E18" i="3" s="1"/>
  <c r="U12" i="3" l="1"/>
  <c r="U13" i="3" s="1"/>
  <c r="U14" i="3" s="1"/>
  <c r="U15" i="3" s="1"/>
  <c r="U16" i="3" s="1"/>
  <c r="U17" i="3" s="1"/>
  <c r="U18" i="3" s="1"/>
  <c r="U19" i="3" s="1"/>
  <c r="U20" i="3" s="1"/>
  <c r="U21" i="3" s="1"/>
  <c r="U22" i="3" s="1"/>
  <c r="F13" i="3"/>
  <c r="F14" i="3" s="1"/>
  <c r="E13" i="3"/>
  <c r="E14" i="3" s="1"/>
  <c r="G17" i="3"/>
  <c r="G18" i="3" s="1"/>
  <c r="H17" i="3"/>
  <c r="H18" i="3" s="1"/>
  <c r="U24" i="3" l="1"/>
</calcChain>
</file>

<file path=xl/sharedStrings.xml><?xml version="1.0" encoding="utf-8"?>
<sst xmlns="http://schemas.openxmlformats.org/spreadsheetml/2006/main" count="51" uniqueCount="37">
  <si>
    <t>Period</t>
  </si>
  <si>
    <t xml:space="preserve"> </t>
  </si>
  <si>
    <t>Year</t>
  </si>
  <si>
    <t>Gross Profit Margin</t>
  </si>
  <si>
    <t>Per User  Revenue</t>
  </si>
  <si>
    <t>User Retention %</t>
  </si>
  <si>
    <t>User Life</t>
  </si>
  <si>
    <t>Acqusition Cost if any per user</t>
  </si>
  <si>
    <t>Retention Cost if any</t>
  </si>
  <si>
    <t>Payments made to the creator can be used to find the cost to serve each user</t>
  </si>
  <si>
    <t>Users/Subscribers can be identified for each Social Media offering, for example, YouTube videos by creators</t>
  </si>
  <si>
    <t>YouTube can generate Advertising revenues or referral revenues  for each video/ creator and then  figure out revenues per user/subscriber</t>
  </si>
  <si>
    <t>Cost per user</t>
  </si>
  <si>
    <t>Profit per user</t>
  </si>
  <si>
    <t>Profit</t>
  </si>
  <si>
    <t>Discount Rate</t>
  </si>
  <si>
    <t># users remaining</t>
  </si>
  <si>
    <t># users based on avg retention rate</t>
  </si>
  <si>
    <t>avg retention rate</t>
  </si>
  <si>
    <t>Difference</t>
  </si>
  <si>
    <t>Table 2: One group of users</t>
  </si>
  <si>
    <t>Group 1 Retention Rate</t>
  </si>
  <si>
    <t>Group 2 retention Rate</t>
  </si>
  <si>
    <t xml:space="preserve"># of users in Group-1 </t>
  </si>
  <si>
    <t># of users in group 2</t>
  </si>
  <si>
    <t>% in each group</t>
  </si>
  <si>
    <t># Users Grp1 and 2</t>
  </si>
  <si>
    <t>Table 3:  Assume Two groups of users with differing retention rates</t>
  </si>
  <si>
    <t>% Users in Group-1</t>
  </si>
  <si>
    <t>LIFE TIME VALUE ANALYSIS</t>
  </si>
  <si>
    <t>Table-1</t>
  </si>
  <si>
    <t>Discounted profits (look at notes below)</t>
  </si>
  <si>
    <r>
      <rPr>
        <b/>
        <u/>
        <sz val="10"/>
        <rFont val="Arial"/>
        <family val="2"/>
      </rPr>
      <t>Retention cost</t>
    </r>
    <r>
      <rPr>
        <sz val="10"/>
        <rFont val="Arial"/>
        <family val="2"/>
      </rPr>
      <t>: Any incentives paid to user/subscriber to continue coming back</t>
    </r>
  </si>
  <si>
    <r>
      <rPr>
        <b/>
        <u/>
        <sz val="10"/>
        <rFont val="Arial"/>
        <family val="2"/>
      </rPr>
      <t>Acqusition cos</t>
    </r>
    <r>
      <rPr>
        <sz val="10"/>
        <rFont val="Arial"/>
        <family val="2"/>
      </rPr>
      <t>t: Any incentives paid to user/subscribers to sign-up</t>
    </r>
  </si>
  <si>
    <t>ULTV (User-lifetime-value)</t>
  </si>
  <si>
    <t xml:space="preserve">*only go up till 3, then add the product of year 4 (411.351) abd .33 to the sum of year 0 to year 3. </t>
  </si>
  <si>
    <r>
      <t xml:space="preserve">*Use </t>
    </r>
    <r>
      <rPr>
        <b/>
        <sz val="10"/>
        <rFont val="Arial"/>
        <family val="2"/>
      </rPr>
      <t>solver</t>
    </r>
    <r>
      <rPr>
        <sz val="10"/>
        <rFont val="Arial"/>
        <family val="2"/>
      </rPr>
      <t xml:space="preserve"> to find the average retention rate, by minimizng the difference value and changing the avg rate value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</si>
</sst>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5" formatCode="&quot;$&quot;#,##0_);\(&quot;$&quot;#,##0\)"/>
    <numFmt numFmtId="6" formatCode="&quot;$&quot;#,##0_);[Red]\(&quot;$&quot;#,##0\)"/>
    <numFmt numFmtId="7" formatCode="&quot;$&quot;#,##0.00_);\(&quot;$&quot;#,##0.00\)"/>
    <numFmt numFmtId="44" formatCode="_(&quot;$&quot;* #,##0.00_);_(&quot;$&quot;* \(#,##0.00\);_(&quot;$&quot;* &quot;-&quot;??_);_(@_)"/>
    <numFmt numFmtId="164" formatCode="0.0%"/>
    <numFmt numFmtId="165" formatCode="0\ \ \ \ 0\ \ \ \ 0"/>
    <numFmt numFmtId="166" formatCode="0.000"/>
    <numFmt numFmtId="167" formatCode="&quot;$&quot;#,##0.0_);[Red]\(&quot;$&quot;#,##0.0\)"/>
    <numFmt numFmtId="168" formatCode="0.0"/>
  </numFmts>
  <fonts count="13" x14ac:knownFonts="1">
    <font>
      <sz val="10"/>
      <name val="Arial"/>
    </font>
    <font>
      <b/>
      <sz val="10"/>
      <name val="Arial"/>
      <family val="2"/>
    </font>
    <font>
      <sz val="10"/>
      <name val="Arial"/>
      <family val="2"/>
    </font>
    <font>
      <sz val="10"/>
      <name val="Arial"/>
      <family val="2"/>
    </font>
    <font>
      <sz val="12"/>
      <name val="Arial"/>
      <family val="2"/>
    </font>
    <font>
      <b/>
      <sz val="12"/>
      <name val="Arial"/>
      <family val="2"/>
    </font>
    <font>
      <b/>
      <sz val="8"/>
      <name val="Arial"/>
      <family val="2"/>
    </font>
    <font>
      <sz val="8"/>
      <name val="Arial"/>
      <family val="2"/>
    </font>
    <font>
      <b/>
      <sz val="8"/>
      <color indexed="9"/>
      <name val="Arial"/>
      <family val="2"/>
    </font>
    <font>
      <sz val="10"/>
      <color indexed="9"/>
      <name val="Arial"/>
      <family val="2"/>
    </font>
    <font>
      <sz val="10"/>
      <color indexed="8"/>
      <name val="Arial"/>
      <family val="2"/>
    </font>
    <font>
      <b/>
      <sz val="10"/>
      <color theme="1"/>
      <name val="Arial"/>
      <family val="2"/>
    </font>
    <font>
      <b/>
      <u/>
      <sz val="10"/>
      <name val="Arial"/>
      <family val="2"/>
    </font>
  </fonts>
  <fills count="12">
    <fill>
      <patternFill patternType="none"/>
    </fill>
    <fill>
      <patternFill patternType="gray125"/>
    </fill>
    <fill>
      <patternFill patternType="solid">
        <fgColor indexed="22"/>
        <bgColor indexed="64"/>
      </patternFill>
    </fill>
    <fill>
      <patternFill patternType="solid">
        <fgColor indexed="8"/>
        <bgColor indexed="64"/>
      </patternFill>
    </fill>
    <fill>
      <patternFill patternType="solid">
        <fgColor theme="0" tint="-0.14996795556505021"/>
        <bgColor indexed="64"/>
      </patternFill>
    </fill>
    <fill>
      <patternFill patternType="solid">
        <fgColor indexed="9"/>
        <bgColor indexed="64"/>
      </patternFill>
    </fill>
    <fill>
      <patternFill patternType="solid">
        <fgColor theme="4" tint="0.39997558519241921"/>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rgb="FF92D050"/>
        <bgColor indexed="64"/>
      </patternFill>
    </fill>
    <fill>
      <patternFill patternType="solid">
        <fgColor theme="4"/>
        <bgColor indexed="64"/>
      </patternFill>
    </fill>
  </fills>
  <borders count="10">
    <border>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thin">
        <color indexed="64"/>
      </left>
      <right style="thin">
        <color indexed="64"/>
      </right>
      <top style="thin">
        <color indexed="64"/>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s>
  <cellStyleXfs count="3">
    <xf numFmtId="0" fontId="0" fillId="0" borderId="0"/>
    <xf numFmtId="44" fontId="3" fillId="0" borderId="0" applyFont="0" applyFill="0" applyBorder="0" applyAlignment="0" applyProtection="0"/>
    <xf numFmtId="0" fontId="4" fillId="0" borderId="0"/>
  </cellStyleXfs>
  <cellXfs count="65">
    <xf numFmtId="0" fontId="0" fillId="0" borderId="0" xfId="0"/>
    <xf numFmtId="0" fontId="1" fillId="0" borderId="0" xfId="0" applyFont="1"/>
    <xf numFmtId="2" fontId="1" fillId="0" borderId="0" xfId="0" applyNumberFormat="1" applyFont="1"/>
    <xf numFmtId="0" fontId="2" fillId="0" borderId="0" xfId="0" applyFont="1"/>
    <xf numFmtId="2" fontId="0" fillId="0" borderId="0" xfId="0" applyNumberFormat="1"/>
    <xf numFmtId="1" fontId="0" fillId="0" borderId="0" xfId="0" applyNumberFormat="1"/>
    <xf numFmtId="164" fontId="1" fillId="0" borderId="0" xfId="0" applyNumberFormat="1" applyFont="1"/>
    <xf numFmtId="0" fontId="0" fillId="0" borderId="1" xfId="0" applyBorder="1"/>
    <xf numFmtId="0" fontId="0" fillId="0" borderId="2" xfId="0" applyBorder="1"/>
    <xf numFmtId="0" fontId="0" fillId="0" borderId="3" xfId="0" applyBorder="1"/>
    <xf numFmtId="0" fontId="0" fillId="0" borderId="4" xfId="0" applyBorder="1"/>
    <xf numFmtId="0" fontId="4" fillId="0" borderId="0" xfId="2"/>
    <xf numFmtId="0" fontId="4" fillId="0" borderId="0" xfId="2" applyAlignment="1">
      <alignment horizontal="center"/>
    </xf>
    <xf numFmtId="165" fontId="5" fillId="0" borderId="0" xfId="2" applyNumberFormat="1" applyFont="1"/>
    <xf numFmtId="0" fontId="0" fillId="0" borderId="5" xfId="0" applyBorder="1"/>
    <xf numFmtId="9" fontId="6" fillId="2" borderId="6" xfId="2" applyNumberFormat="1" applyFont="1" applyFill="1" applyBorder="1" applyAlignment="1">
      <alignment horizontal="center"/>
    </xf>
    <xf numFmtId="0" fontId="7" fillId="0" borderId="0" xfId="2" applyFont="1" applyAlignment="1">
      <alignment horizontal="center"/>
    </xf>
    <xf numFmtId="0" fontId="8" fillId="3" borderId="6" xfId="2" applyFont="1" applyFill="1" applyBorder="1"/>
    <xf numFmtId="0" fontId="8" fillId="3" borderId="6" xfId="2" applyFont="1" applyFill="1" applyBorder="1" applyAlignment="1">
      <alignment horizontal="center"/>
    </xf>
    <xf numFmtId="0" fontId="2" fillId="0" borderId="6" xfId="0" applyFont="1" applyBorder="1"/>
    <xf numFmtId="7" fontId="2" fillId="0" borderId="6" xfId="1" applyNumberFormat="1" applyFont="1" applyBorder="1" applyAlignment="1">
      <alignment horizontal="center"/>
    </xf>
    <xf numFmtId="0" fontId="2" fillId="0" borderId="6" xfId="0" applyFont="1" applyBorder="1" applyAlignment="1">
      <alignment horizontal="center"/>
    </xf>
    <xf numFmtId="2" fontId="2" fillId="0" borderId="6" xfId="0" applyNumberFormat="1" applyFont="1" applyBorder="1" applyAlignment="1">
      <alignment horizontal="center"/>
    </xf>
    <xf numFmtId="0" fontId="2" fillId="0" borderId="6" xfId="2" applyFont="1" applyBorder="1"/>
    <xf numFmtId="0" fontId="2" fillId="2" borderId="6" xfId="2" applyFont="1" applyFill="1" applyBorder="1" applyAlignment="1">
      <alignment horizontal="center"/>
    </xf>
    <xf numFmtId="6" fontId="2" fillId="2" borderId="6" xfId="2" applyNumberFormat="1" applyFont="1" applyFill="1" applyBorder="1" applyAlignment="1">
      <alignment horizontal="center"/>
    </xf>
    <xf numFmtId="6" fontId="7" fillId="0" borderId="0" xfId="2" applyNumberFormat="1" applyFont="1" applyAlignment="1">
      <alignment horizontal="center"/>
    </xf>
    <xf numFmtId="166" fontId="7" fillId="0" borderId="6" xfId="2" applyNumberFormat="1" applyFont="1" applyBorder="1" applyAlignment="1">
      <alignment horizontal="center"/>
    </xf>
    <xf numFmtId="5" fontId="2" fillId="0" borderId="0" xfId="0" applyNumberFormat="1" applyFont="1" applyAlignment="1">
      <alignment horizontal="left"/>
    </xf>
    <xf numFmtId="0" fontId="2" fillId="0" borderId="0" xfId="0" applyFont="1" applyAlignment="1">
      <alignment horizontal="left"/>
    </xf>
    <xf numFmtId="5" fontId="2" fillId="0" borderId="0" xfId="0" applyNumberFormat="1" applyFont="1"/>
    <xf numFmtId="0" fontId="0" fillId="0" borderId="0" xfId="0" applyAlignment="1">
      <alignment horizontal="right"/>
    </xf>
    <xf numFmtId="167" fontId="1" fillId="0" borderId="0" xfId="0" applyNumberFormat="1" applyFont="1" applyAlignment="1">
      <alignment horizontal="left"/>
    </xf>
    <xf numFmtId="0" fontId="0" fillId="0" borderId="7" xfId="0" applyBorder="1"/>
    <xf numFmtId="0" fontId="0" fillId="0" borderId="8" xfId="0" applyBorder="1"/>
    <xf numFmtId="0" fontId="0" fillId="0" borderId="9" xfId="0" applyBorder="1"/>
    <xf numFmtId="7" fontId="2" fillId="4" borderId="6" xfId="1" applyNumberFormat="1" applyFont="1" applyFill="1" applyBorder="1" applyAlignment="1">
      <alignment horizontal="center"/>
    </xf>
    <xf numFmtId="2" fontId="2" fillId="4" borderId="6" xfId="2" applyNumberFormat="1" applyFont="1" applyFill="1" applyBorder="1" applyAlignment="1">
      <alignment horizontal="center"/>
    </xf>
    <xf numFmtId="39" fontId="2" fillId="0" borderId="0" xfId="0" applyNumberFormat="1" applyFont="1" applyAlignment="1">
      <alignment horizontal="right"/>
    </xf>
    <xf numFmtId="5" fontId="1" fillId="2" borderId="6" xfId="2" applyNumberFormat="1" applyFont="1" applyFill="1" applyBorder="1" applyAlignment="1">
      <alignment horizontal="center"/>
    </xf>
    <xf numFmtId="0" fontId="1" fillId="2" borderId="6" xfId="2" applyFont="1" applyFill="1" applyBorder="1" applyAlignment="1">
      <alignment horizontal="center"/>
    </xf>
    <xf numFmtId="5" fontId="9" fillId="3" borderId="6" xfId="2" applyNumberFormat="1" applyFont="1" applyFill="1" applyBorder="1" applyAlignment="1">
      <alignment horizontal="center"/>
    </xf>
    <xf numFmtId="5" fontId="2" fillId="2" borderId="6" xfId="2" applyNumberFormat="1" applyFont="1" applyFill="1" applyBorder="1" applyAlignment="1">
      <alignment horizontal="center"/>
    </xf>
    <xf numFmtId="0" fontId="10" fillId="5" borderId="6" xfId="2" applyFont="1" applyFill="1" applyBorder="1"/>
    <xf numFmtId="9" fontId="2" fillId="2" borderId="6" xfId="2" applyNumberFormat="1" applyFont="1" applyFill="1" applyBorder="1" applyAlignment="1">
      <alignment horizontal="center"/>
    </xf>
    <xf numFmtId="2" fontId="2" fillId="0" borderId="6" xfId="2" applyNumberFormat="1" applyFont="1" applyBorder="1" applyAlignment="1">
      <alignment horizontal="center"/>
    </xf>
    <xf numFmtId="7" fontId="2" fillId="0" borderId="6" xfId="0" applyNumberFormat="1" applyFont="1" applyBorder="1" applyAlignment="1">
      <alignment horizontal="center"/>
    </xf>
    <xf numFmtId="6" fontId="1" fillId="2" borderId="6" xfId="2" applyNumberFormat="1" applyFont="1" applyFill="1" applyBorder="1" applyAlignment="1">
      <alignment horizontal="center"/>
    </xf>
    <xf numFmtId="0" fontId="1" fillId="0" borderId="2" xfId="0" applyFont="1" applyBorder="1"/>
    <xf numFmtId="0" fontId="5" fillId="0" borderId="6" xfId="2" applyFont="1" applyBorder="1"/>
    <xf numFmtId="0" fontId="11" fillId="6" borderId="0" xfId="2" applyFont="1" applyFill="1"/>
    <xf numFmtId="9" fontId="0" fillId="0" borderId="0" xfId="0" applyNumberFormat="1" applyAlignment="1">
      <alignment horizontal="center"/>
    </xf>
    <xf numFmtId="164" fontId="0" fillId="7" borderId="0" xfId="0" applyNumberFormat="1" applyFill="1"/>
    <xf numFmtId="0" fontId="0" fillId="8" borderId="0" xfId="0" applyFill="1"/>
    <xf numFmtId="0" fontId="2" fillId="8" borderId="0" xfId="0" applyFont="1" applyFill="1"/>
    <xf numFmtId="0" fontId="1" fillId="8" borderId="0" xfId="0" applyFont="1" applyFill="1"/>
    <xf numFmtId="0" fontId="2" fillId="9" borderId="0" xfId="0" applyFont="1" applyFill="1"/>
    <xf numFmtId="2" fontId="0" fillId="9" borderId="0" xfId="0" applyNumberFormat="1" applyFill="1"/>
    <xf numFmtId="168" fontId="0" fillId="10" borderId="0" xfId="0" applyNumberFormat="1" applyFill="1"/>
    <xf numFmtId="168" fontId="2" fillId="10" borderId="0" xfId="0" applyNumberFormat="1" applyFont="1" applyFill="1"/>
    <xf numFmtId="0" fontId="0" fillId="10" borderId="0" xfId="0" applyFill="1"/>
    <xf numFmtId="0" fontId="2" fillId="10" borderId="0" xfId="0" applyFont="1" applyFill="1"/>
    <xf numFmtId="0" fontId="0" fillId="11" borderId="0" xfId="0" applyFill="1"/>
    <xf numFmtId="1" fontId="0" fillId="11" borderId="0" xfId="0" applyNumberFormat="1" applyFill="1"/>
    <xf numFmtId="0" fontId="10" fillId="5" borderId="6" xfId="2" applyFont="1" applyFill="1" applyBorder="1" applyAlignment="1">
      <alignment wrapText="1"/>
    </xf>
  </cellXfs>
  <cellStyles count="3">
    <cellStyle name="Currency" xfId="1" builtinId="4"/>
    <cellStyle name="Normal" xfId="0" builtinId="0"/>
    <cellStyle name="Normal_Sheet1" xfId="2" xr:uid="{73561804-1F0B-4BA2-A677-C59A2CE96F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7" Type="http://schemas.openxmlformats.org/officeDocument/2006/relationships/image" Target="../media/image4.png"/><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3.png"/><Relationship Id="rId5" Type="http://schemas.openxmlformats.org/officeDocument/2006/relationships/customXml" Target="../ink/ink3.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228600</xdr:colOff>
      <xdr:row>0</xdr:row>
      <xdr:rowOff>0</xdr:rowOff>
    </xdr:from>
    <xdr:to>
      <xdr:col>4</xdr:col>
      <xdr:colOff>251640</xdr:colOff>
      <xdr:row>0</xdr:row>
      <xdr:rowOff>3960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9" name="Ink 8">
              <a:extLst>
                <a:ext uri="{FF2B5EF4-FFF2-40B4-BE49-F238E27FC236}">
                  <a16:creationId xmlns:a16="http://schemas.microsoft.com/office/drawing/2014/main" id="{B3513853-6022-4374-99A9-AB6CFF04F0F7}"/>
                </a:ext>
              </a:extLst>
            </xdr14:cNvPr>
            <xdr14:cNvContentPartPr/>
          </xdr14:nvContentPartPr>
          <xdr14:nvPr macro=""/>
          <xdr14:xfrm>
            <a:off x="4572000" y="2164680"/>
            <a:ext cx="23040" cy="3960"/>
          </xdr14:xfrm>
        </xdr:contentPart>
      </mc:Choice>
      <mc:Fallback xmlns="">
        <xdr:pic>
          <xdr:nvPicPr>
            <xdr:cNvPr id="9" name="Ink 8">
              <a:extLst>
                <a:ext uri="{FF2B5EF4-FFF2-40B4-BE49-F238E27FC236}">
                  <a16:creationId xmlns:a16="http://schemas.microsoft.com/office/drawing/2014/main" id="{B3513853-6022-4374-99A9-AB6CFF04F0F7}"/>
                </a:ext>
              </a:extLst>
            </xdr:cNvPr>
            <xdr:cNvPicPr/>
          </xdr:nvPicPr>
          <xdr:blipFill>
            <a:blip xmlns:r="http://schemas.openxmlformats.org/officeDocument/2006/relationships" r:embed="rId2"/>
            <a:stretch>
              <a:fillRect/>
            </a:stretch>
          </xdr:blipFill>
          <xdr:spPr>
            <a:xfrm>
              <a:off x="4563360" y="2155680"/>
              <a:ext cx="40680" cy="21600"/>
            </a:xfrm>
            <a:prstGeom prst="rect">
              <a:avLst/>
            </a:prstGeom>
          </xdr:spPr>
        </xdr:pic>
      </mc:Fallback>
    </mc:AlternateContent>
    <xdr:clientData/>
  </xdr:twoCellAnchor>
  <xdr:twoCellAnchor editAs="oneCell">
    <xdr:from>
      <xdr:col>3</xdr:col>
      <xdr:colOff>1025949</xdr:colOff>
      <xdr:row>0</xdr:row>
      <xdr:rowOff>0</xdr:rowOff>
    </xdr:from>
    <xdr:to>
      <xdr:col>3</xdr:col>
      <xdr:colOff>1032789</xdr:colOff>
      <xdr:row>0</xdr:row>
      <xdr:rowOff>13320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02" name="Ink 101">
              <a:extLst>
                <a:ext uri="{FF2B5EF4-FFF2-40B4-BE49-F238E27FC236}">
                  <a16:creationId xmlns:a16="http://schemas.microsoft.com/office/drawing/2014/main" id="{83C91E44-4F5C-4FBF-B63A-C7CFE9FFFBF9}"/>
                </a:ext>
              </a:extLst>
            </xdr14:cNvPr>
            <xdr14:cNvContentPartPr/>
          </xdr14:nvContentPartPr>
          <xdr14:nvPr macro=""/>
          <xdr14:xfrm>
            <a:off x="4095720" y="2193840"/>
            <a:ext cx="6840" cy="13320"/>
          </xdr14:xfrm>
        </xdr:contentPart>
      </mc:Choice>
      <mc:Fallback xmlns="">
        <xdr:pic>
          <xdr:nvPicPr>
            <xdr:cNvPr id="102" name="Ink 101">
              <a:extLst>
                <a:ext uri="{FF2B5EF4-FFF2-40B4-BE49-F238E27FC236}">
                  <a16:creationId xmlns:a16="http://schemas.microsoft.com/office/drawing/2014/main" id="{83C91E44-4F5C-4FBF-B63A-C7CFE9FFFBF9}"/>
                </a:ext>
              </a:extLst>
            </xdr:cNvPr>
            <xdr:cNvPicPr/>
          </xdr:nvPicPr>
          <xdr:blipFill>
            <a:blip xmlns:r="http://schemas.openxmlformats.org/officeDocument/2006/relationships" r:embed="rId4"/>
            <a:stretch>
              <a:fillRect/>
            </a:stretch>
          </xdr:blipFill>
          <xdr:spPr>
            <a:xfrm>
              <a:off x="4086720" y="2185200"/>
              <a:ext cx="24480" cy="30960"/>
            </a:xfrm>
            <a:prstGeom prst="rect">
              <a:avLst/>
            </a:prstGeom>
          </xdr:spPr>
        </xdr:pic>
      </mc:Fallback>
    </mc:AlternateContent>
    <xdr:clientData/>
  </xdr:twoCellAnchor>
  <xdr:twoCellAnchor editAs="oneCell">
    <xdr:from>
      <xdr:col>3</xdr:col>
      <xdr:colOff>933069</xdr:colOff>
      <xdr:row>0</xdr:row>
      <xdr:rowOff>0</xdr:rowOff>
    </xdr:from>
    <xdr:to>
      <xdr:col>3</xdr:col>
      <xdr:colOff>941709</xdr:colOff>
      <xdr:row>0</xdr:row>
      <xdr:rowOff>156240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52" name="Ink 151">
              <a:extLst>
                <a:ext uri="{FF2B5EF4-FFF2-40B4-BE49-F238E27FC236}">
                  <a16:creationId xmlns:a16="http://schemas.microsoft.com/office/drawing/2014/main" id="{DC71A6A4-3B87-4DC7-8ABA-7C9F5E878956}"/>
                </a:ext>
              </a:extLst>
            </xdr14:cNvPr>
            <xdr14:cNvContentPartPr/>
          </xdr14:nvContentPartPr>
          <xdr14:nvPr macro=""/>
          <xdr14:xfrm>
            <a:off x="4002840" y="2657160"/>
            <a:ext cx="8640" cy="156240"/>
          </xdr14:xfrm>
        </xdr:contentPart>
      </mc:Choice>
      <mc:Fallback xmlns="">
        <xdr:pic>
          <xdr:nvPicPr>
            <xdr:cNvPr id="152" name="Ink 151">
              <a:extLst>
                <a:ext uri="{FF2B5EF4-FFF2-40B4-BE49-F238E27FC236}">
                  <a16:creationId xmlns:a16="http://schemas.microsoft.com/office/drawing/2014/main" id="{DC71A6A4-3B87-4DC7-8ABA-7C9F5E878956}"/>
                </a:ext>
              </a:extLst>
            </xdr:cNvPr>
            <xdr:cNvPicPr/>
          </xdr:nvPicPr>
          <xdr:blipFill>
            <a:blip xmlns:r="http://schemas.openxmlformats.org/officeDocument/2006/relationships" r:embed="rId6"/>
            <a:stretch>
              <a:fillRect/>
            </a:stretch>
          </xdr:blipFill>
          <xdr:spPr>
            <a:xfrm>
              <a:off x="3994200" y="2648160"/>
              <a:ext cx="26280" cy="173880"/>
            </a:xfrm>
            <a:prstGeom prst="rect">
              <a:avLst/>
            </a:prstGeom>
          </xdr:spPr>
        </xdr:pic>
      </mc:Fallback>
    </mc:AlternateContent>
    <xdr:clientData/>
  </xdr:twoCellAnchor>
  <xdr:twoCellAnchor>
    <xdr:from>
      <xdr:col>1</xdr:col>
      <xdr:colOff>38100</xdr:colOff>
      <xdr:row>32</xdr:row>
      <xdr:rowOff>14515</xdr:rowOff>
    </xdr:from>
    <xdr:to>
      <xdr:col>9</xdr:col>
      <xdr:colOff>705757</xdr:colOff>
      <xdr:row>52</xdr:row>
      <xdr:rowOff>65314</xdr:rowOff>
    </xdr:to>
    <xdr:sp macro="" textlink="">
      <xdr:nvSpPr>
        <xdr:cNvPr id="6" name="TextBox 5">
          <a:extLst>
            <a:ext uri="{FF2B5EF4-FFF2-40B4-BE49-F238E27FC236}">
              <a16:creationId xmlns:a16="http://schemas.microsoft.com/office/drawing/2014/main" id="{265DB97A-BA26-42B0-9A05-82075EE89E94}"/>
            </a:ext>
          </a:extLst>
        </xdr:cNvPr>
        <xdr:cNvSpPr txBox="1"/>
      </xdr:nvSpPr>
      <xdr:spPr>
        <a:xfrm>
          <a:off x="711200" y="6796315"/>
          <a:ext cx="8452757" cy="33527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Homework Assignment</a:t>
          </a:r>
        </a:p>
        <a:p>
          <a:endParaRPr lang="en-US" sz="1100" b="1"/>
        </a:p>
        <a:p>
          <a:r>
            <a:rPr lang="en-US" sz="1100" baseline="0"/>
            <a:t>1. Proceed to calculate discounted profits for periods 1-7 in Table-1. Assume discount rate as 10%. as  shown in cell D9.  Estimate  Lifetime Value  if the retention rate is 85% and discount rate is 10%.</a:t>
          </a:r>
        </a:p>
        <a:p>
          <a:endParaRPr lang="en-US" sz="1100" baseline="0"/>
        </a:p>
        <a:p>
          <a:r>
            <a:rPr lang="en-US" sz="1100"/>
            <a:t>2. What is the average retention rate  for the</a:t>
          </a:r>
          <a:r>
            <a:rPr lang="en-US" sz="1100" baseline="0"/>
            <a:t> retention data given  in Table 2. Column P shows the actual users in each period.</a:t>
          </a:r>
        </a:p>
        <a:p>
          <a:endParaRPr lang="en-US" sz="1100" baseline="0"/>
        </a:p>
        <a:p>
          <a:r>
            <a:rPr lang="en-US" sz="1100" baseline="0"/>
            <a:t>4.  </a:t>
          </a:r>
          <a:r>
            <a:rPr lang="en-US"/>
            <a:t>For </a:t>
          </a:r>
          <a:r>
            <a:rPr lang="en-US" b="1"/>
            <a:t>Table 3</a:t>
          </a:r>
          <a:r>
            <a:rPr lang="en-US"/>
            <a:t>, assume the data in </a:t>
          </a:r>
          <a:r>
            <a:rPr lang="en-US" b="1"/>
            <a:t>Column P</a:t>
          </a:r>
          <a:r>
            <a:rPr lang="en-US"/>
            <a:t> represents two groups of users:</a:t>
          </a:r>
        </a:p>
        <a:p>
          <a:r>
            <a:rPr lang="en-US" b="1"/>
            <a:t>Group 1 (High Retention):</a:t>
          </a:r>
          <a:r>
            <a:rPr lang="en-US"/>
            <a:t> Retention rate greater than 80%</a:t>
          </a:r>
        </a:p>
        <a:p>
          <a:r>
            <a:rPr lang="en-US" b="1"/>
            <a:t>Group 2 (Low Retention):</a:t>
          </a:r>
          <a:r>
            <a:rPr lang="en-US"/>
            <a:t> Retention rate less than 50%</a:t>
          </a:r>
        </a:p>
        <a:p>
          <a:r>
            <a:rPr lang="en-US"/>
            <a:t>Using </a:t>
          </a:r>
          <a:r>
            <a:rPr lang="en-US" b="1"/>
            <a:t>Solver</a:t>
          </a:r>
          <a:r>
            <a:rPr lang="en-US"/>
            <a:t>, estimate:</a:t>
          </a:r>
        </a:p>
        <a:p>
          <a:r>
            <a:rPr lang="en-US"/>
            <a:t>The retention rate for Group 1 and Group 2.</a:t>
          </a:r>
        </a:p>
        <a:p>
          <a:r>
            <a:rPr lang="en-US"/>
            <a:t>The percentage of users in Group 1 and Group 2.</a:t>
          </a:r>
        </a:p>
        <a:p>
          <a:r>
            <a:rPr lang="en-US"/>
            <a:t>In a separate </a:t>
          </a:r>
          <a:r>
            <a:rPr lang="en-US" b="1"/>
            <a:t>Word document</a:t>
          </a:r>
          <a:r>
            <a:rPr lang="en-US"/>
            <a:t>, provide explanations for the formulas entered in each </a:t>
          </a:r>
          <a:r>
            <a:rPr lang="en-US" b="1"/>
            <a:t>green-yellow highlighted cell</a:t>
          </a:r>
          <a:r>
            <a:rPr lang="en-US"/>
            <a:t>.</a:t>
          </a:r>
        </a:p>
        <a:p>
          <a:r>
            <a:rPr lang="en-US"/>
            <a:t>Finally, upload both your </a:t>
          </a:r>
          <a:r>
            <a:rPr lang="en-US" b="1"/>
            <a:t>Excel file</a:t>
          </a:r>
          <a:r>
            <a:rPr lang="en-US"/>
            <a:t> and the </a:t>
          </a:r>
          <a:r>
            <a:rPr lang="en-US" b="1"/>
            <a:t>Word document</a:t>
          </a:r>
          <a:r>
            <a:rPr lang="en-US"/>
            <a:t> to complete this assignment.</a:t>
          </a:r>
        </a:p>
        <a:p>
          <a:r>
            <a:rPr lang="en-US" b="1"/>
            <a:t>Note:</a:t>
          </a:r>
          <a:r>
            <a:rPr lang="en-US"/>
            <a:t> The values shown in </a:t>
          </a:r>
          <a:r>
            <a:rPr lang="en-US" b="1"/>
            <a:t>Columns S, W, and Y</a:t>
          </a:r>
          <a:r>
            <a:rPr lang="en-US"/>
            <a:t>, as well as in cells </a:t>
          </a:r>
          <a:r>
            <a:rPr lang="en-US" b="1"/>
            <a:t>W29, W30, and W31</a:t>
          </a:r>
          <a:r>
            <a:rPr lang="en-US"/>
            <a:t>, are the results of one</a:t>
          </a:r>
          <a:r>
            <a:rPr lang="en-US" baseline="0"/>
            <a:t> </a:t>
          </a:r>
          <a:r>
            <a:rPr lang="en-US"/>
            <a:t>optimization procedure. Your task is to apply an optimization method  based on our class discussion and explain how it works. Depending on the type of procedure used, you may obtain different numerical results.</a:t>
          </a:r>
        </a:p>
      </xdr:txBody>
    </xdr:sp>
    <xdr:clientData/>
  </xdr:twoCellAnchor>
  <xdr:twoCellAnchor>
    <xdr:from>
      <xdr:col>1</xdr:col>
      <xdr:colOff>25400</xdr:colOff>
      <xdr:row>52</xdr:row>
      <xdr:rowOff>0</xdr:rowOff>
    </xdr:from>
    <xdr:to>
      <xdr:col>9</xdr:col>
      <xdr:colOff>698500</xdr:colOff>
      <xdr:row>108</xdr:row>
      <xdr:rowOff>114300</xdr:rowOff>
    </xdr:to>
    <mc:AlternateContent xmlns:mc="http://schemas.openxmlformats.org/markup-compatibility/2006">
      <mc:Choice xmlns:a14="http://schemas.microsoft.com/office/drawing/2010/main" Requires="a14">
        <xdr:sp macro="" textlink="">
          <xdr:nvSpPr>
            <xdr:cNvPr id="2" name="Rectangle 1">
              <a:extLst>
                <a:ext uri="{FF2B5EF4-FFF2-40B4-BE49-F238E27FC236}">
                  <a16:creationId xmlns:a16="http://schemas.microsoft.com/office/drawing/2014/main" id="{5B7654A1-050D-DCC2-D7C0-B919FF233611}"/>
                </a:ext>
              </a:extLst>
            </xdr:cNvPr>
            <xdr:cNvSpPr/>
          </xdr:nvSpPr>
          <xdr:spPr>
            <a:xfrm>
              <a:off x="698500" y="10083800"/>
              <a:ext cx="8458200" cy="9359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b="1" u="sng"/>
                <a:t>⭐ COMPOUNDING (Money Growing Forward) (Interest Rate)</a:t>
              </a:r>
            </a:p>
            <a:p>
              <a:r>
                <a:rPr lang="en-US" b="1"/>
                <a:t>What it means:</a:t>
              </a:r>
            </a:p>
            <a:p>
              <a:r>
                <a:rPr lang="en-US"/>
                <a:t>Compounding is when money today grows into </a:t>
              </a:r>
              <a:r>
                <a:rPr lang="en-US" b="1"/>
                <a:t>more money</a:t>
              </a:r>
              <a:r>
                <a:rPr lang="en-US"/>
                <a:t> in the future because you earn interest </a:t>
              </a:r>
              <a:r>
                <a:rPr lang="en-US" b="1"/>
                <a:t>on your money + on past interest.</a:t>
              </a:r>
              <a:endParaRPr lang="en-US"/>
            </a:p>
            <a:p>
              <a:r>
                <a:rPr lang="en-US" b="1"/>
                <a:t>Formula:</a:t>
              </a:r>
            </a:p>
            <a:p>
              <a14:m>
                <m:oMathPara xmlns:m="http://schemas.openxmlformats.org/officeDocument/2006/math">
                  <m:oMathParaPr>
                    <m:jc m:val="centerGroup"/>
                  </m:oMathParaPr>
                  <m:oMath xmlns:m="http://schemas.openxmlformats.org/officeDocument/2006/math">
                    <m:r>
                      <m:rPr>
                        <m:nor/>
                      </m:rPr>
                      <a:rPr lang="en-US" b="0"/>
                      <m:t>Future</m:t>
                    </m:r>
                    <m:r>
                      <m:rPr>
                        <m:nor/>
                      </m:rPr>
                      <a:rPr lang="en-US" b="0" i="1"/>
                      <m:t> </m:t>
                    </m:r>
                    <m:r>
                      <m:rPr>
                        <m:nor/>
                      </m:rPr>
                      <a:rPr lang="en-US" b="0" i="1"/>
                      <m:t>Value</m:t>
                    </m:r>
                    <m:r>
                      <a:rPr lang="en-US" sz="1100" b="0" i="0">
                        <a:solidFill>
                          <a:schemeClr val="lt1"/>
                        </a:solidFill>
                        <a:latin typeface="+mn-lt"/>
                        <a:ea typeface="+mn-ea"/>
                        <a:cs typeface="+mn-cs"/>
                      </a:rPr>
                      <m:t>=</m:t>
                    </m:r>
                    <m:r>
                      <m:rPr>
                        <m:nor/>
                      </m:rPr>
                      <a:rPr lang="en-US" sz="1100" b="0" i="1">
                        <a:solidFill>
                          <a:schemeClr val="lt1"/>
                        </a:solidFill>
                        <a:latin typeface="+mn-lt"/>
                        <a:ea typeface="+mn-ea"/>
                        <a:cs typeface="+mn-cs"/>
                      </a:rPr>
                      <m:t>Present</m:t>
                    </m:r>
                    <m:r>
                      <m:rPr>
                        <m:nor/>
                      </m:rPr>
                      <a:rPr lang="en-US" sz="1100" b="0" i="1">
                        <a:solidFill>
                          <a:schemeClr val="lt1"/>
                        </a:solidFill>
                        <a:latin typeface="+mn-lt"/>
                        <a:ea typeface="+mn-ea"/>
                        <a:cs typeface="+mn-cs"/>
                      </a:rPr>
                      <m:t> </m:t>
                    </m:r>
                    <m:r>
                      <m:rPr>
                        <m:nor/>
                      </m:rPr>
                      <a:rPr lang="en-US" sz="1100" b="0" i="1">
                        <a:solidFill>
                          <a:schemeClr val="lt1"/>
                        </a:solidFill>
                        <a:latin typeface="+mn-lt"/>
                        <a:ea typeface="+mn-ea"/>
                        <a:cs typeface="+mn-cs"/>
                      </a:rPr>
                      <m:t>Value</m:t>
                    </m:r>
                    <m:r>
                      <a:rPr lang="en-US" sz="1100" b="0" i="0">
                        <a:solidFill>
                          <a:schemeClr val="lt1"/>
                        </a:solidFill>
                        <a:latin typeface="+mn-lt"/>
                        <a:ea typeface="+mn-ea"/>
                        <a:cs typeface="+mn-cs"/>
                      </a:rPr>
                      <m:t>×</m:t>
                    </m:r>
                    <m:d>
                      <m:dPr>
                        <m:endChr m:val=""/>
                        <m:ctrlPr>
                          <a:rPr lang="ar-AE" sz="1100" b="0" i="1">
                            <a:solidFill>
                              <a:schemeClr val="lt1"/>
                            </a:solidFill>
                            <a:latin typeface="+mn-lt"/>
                            <a:ea typeface="+mn-ea"/>
                            <a:cs typeface="+mn-cs"/>
                          </a:rPr>
                        </m:ctrlPr>
                      </m:dPr>
                      <m:e>
                        <m:r>
                          <a:rPr lang="ar-AE" sz="1100" b="0" i="0">
                            <a:solidFill>
                              <a:schemeClr val="lt1"/>
                            </a:solidFill>
                            <a:latin typeface="+mn-lt"/>
                            <a:ea typeface="+mn-ea"/>
                            <a:cs typeface="+mn-cs"/>
                          </a:rPr>
                          <m:t>1+</m:t>
                        </m:r>
                        <m:r>
                          <a:rPr lang="ar-AE" sz="1100" b="0" i="1">
                            <a:solidFill>
                              <a:schemeClr val="lt1"/>
                            </a:solidFill>
                            <a:latin typeface="+mn-lt"/>
                            <a:ea typeface="+mn-ea"/>
                            <a:cs typeface="+mn-cs"/>
                          </a:rPr>
                          <m:t>𝑟</m:t>
                        </m:r>
                        <m:sSup>
                          <m:sSupPr>
                            <m:ctrlPr>
                              <a:rPr lang="ar-AE" sz="1100" b="0" i="1">
                                <a:solidFill>
                                  <a:schemeClr val="lt1"/>
                                </a:solidFill>
                                <a:latin typeface="+mn-lt"/>
                                <a:ea typeface="+mn-ea"/>
                                <a:cs typeface="+mn-cs"/>
                              </a:rPr>
                            </m:ctrlPr>
                          </m:sSupPr>
                          <m:e>
                            <m:d>
                              <m:dPr>
                                <m:begChr m:val=""/>
                                <m:endChr m:val=""/>
                                <m:ctrlPr>
                                  <a:rPr lang="ar-AE" sz="1100" b="0" i="1">
                                    <a:solidFill>
                                      <a:schemeClr val="lt1"/>
                                    </a:solidFill>
                                    <a:latin typeface="+mn-lt"/>
                                    <a:ea typeface="+mn-ea"/>
                                    <a:cs typeface="+mn-cs"/>
                                  </a:rPr>
                                </m:ctrlPr>
                              </m:dPr>
                              <m:e>
                                <m:r>
                                  <a:rPr lang="ar-AE" sz="1100" b="0" i="0">
                                    <a:solidFill>
                                      <a:schemeClr val="lt1"/>
                                    </a:solidFill>
                                    <a:latin typeface="+mn-lt"/>
                                    <a:ea typeface="+mn-ea"/>
                                    <a:cs typeface="+mn-cs"/>
                                  </a:rPr>
                                  <m:t>)</m:t>
                                </m:r>
                              </m:e>
                            </m:d>
                          </m:e>
                          <m:sup>
                            <m:r>
                              <a:rPr lang="ar-AE" sz="1100" b="0" i="1">
                                <a:solidFill>
                                  <a:schemeClr val="lt1"/>
                                </a:solidFill>
                                <a:latin typeface="+mn-lt"/>
                                <a:ea typeface="+mn-ea"/>
                                <a:cs typeface="+mn-cs"/>
                              </a:rPr>
                              <m:t>𝑡</m:t>
                            </m:r>
                          </m:sup>
                        </m:sSup>
                      </m:e>
                    </m:d>
                  </m:oMath>
                </m:oMathPara>
              </a14:m>
              <a:endParaRPr lang="ar-AE" b="0"/>
            </a:p>
            <a:p>
              <a:r>
                <a:rPr lang="en-US" b="1"/>
                <a:t>r</a:t>
              </a:r>
              <a:r>
                <a:rPr lang="en-US"/>
                <a:t> = interest rate</a:t>
              </a:r>
            </a:p>
            <a:p>
              <a:r>
                <a:rPr lang="en-US" b="1"/>
                <a:t>t</a:t>
              </a:r>
              <a:r>
                <a:rPr lang="en-US"/>
                <a:t> = number of years</a:t>
              </a:r>
              <a:br>
                <a:rPr lang="en-US"/>
              </a:br>
              <a:endParaRPr lang="en-US"/>
            </a:p>
            <a:p>
              <a:r>
                <a:rPr lang="en-US" b="1"/>
                <a:t>⭐ Why it matters:</a:t>
              </a:r>
            </a:p>
            <a:p>
              <a:r>
                <a:rPr lang="en-US"/>
                <a:t>It shows why </a:t>
              </a:r>
              <a:r>
                <a:rPr lang="en-US" b="1"/>
                <a:t>money today is worth more</a:t>
              </a:r>
              <a:r>
                <a:rPr lang="en-US"/>
                <a:t> than the same amount in the future.</a:t>
              </a:r>
              <a:br>
                <a:rPr lang="en-US"/>
              </a:br>
              <a:endParaRPr lang="en-US"/>
            </a:p>
            <a:p>
              <a:r>
                <a:rPr lang="en-US" b="1"/>
                <a:t>⭐ Example: $100 now vs. $100 in 5 years</a:t>
              </a:r>
            </a:p>
            <a:p>
              <a:r>
                <a:rPr lang="en-US"/>
                <a:t>Interest rate = </a:t>
              </a:r>
              <a:r>
                <a:rPr lang="en-US" b="1"/>
                <a:t>5%</a:t>
              </a:r>
              <a:endParaRPr lang="en-US"/>
            </a:p>
            <a:p>
              <a14:m>
                <m:oMathPara xmlns:m="http://schemas.openxmlformats.org/officeDocument/2006/math">
                  <m:oMathParaPr>
                    <m:jc m:val="centerGroup"/>
                  </m:oMathParaPr>
                  <m:oMath xmlns:m="http://schemas.openxmlformats.org/officeDocument/2006/math">
                    <m:r>
                      <a:rPr lang="en-US" sz="1100">
                        <a:solidFill>
                          <a:schemeClr val="lt1"/>
                        </a:solidFill>
                        <a:latin typeface="+mn-lt"/>
                        <a:ea typeface="+mn-ea"/>
                        <a:cs typeface="+mn-cs"/>
                      </a:rPr>
                      <m:t>100</m:t>
                    </m:r>
                    <m:r>
                      <a:rPr lang="en-US" sz="1100" i="0">
                        <a:solidFill>
                          <a:schemeClr val="lt1"/>
                        </a:solidFill>
                        <a:latin typeface="+mn-lt"/>
                        <a:ea typeface="+mn-ea"/>
                        <a:cs typeface="+mn-cs"/>
                      </a:rPr>
                      <m:t>×</m:t>
                    </m:r>
                    <m:d>
                      <m:dPr>
                        <m:endChr m:val=""/>
                        <m:ctrlPr>
                          <a:rPr lang="ar-AE" sz="1100" i="1">
                            <a:solidFill>
                              <a:schemeClr val="lt1"/>
                            </a:solidFill>
                            <a:latin typeface="+mn-lt"/>
                            <a:ea typeface="+mn-ea"/>
                            <a:cs typeface="+mn-cs"/>
                          </a:rPr>
                        </m:ctrlPr>
                      </m:dPr>
                      <m:e>
                        <m:r>
                          <a:rPr lang="ar-AE" sz="1100" i="0">
                            <a:solidFill>
                              <a:schemeClr val="lt1"/>
                            </a:solidFill>
                            <a:latin typeface="+mn-lt"/>
                            <a:ea typeface="+mn-ea"/>
                            <a:cs typeface="+mn-cs"/>
                          </a:rPr>
                          <m:t>1.05</m:t>
                        </m:r>
                        <m:sSup>
                          <m:sSupPr>
                            <m:ctrlPr>
                              <a:rPr lang="ar-AE" sz="1100" i="1">
                                <a:solidFill>
                                  <a:schemeClr val="lt1"/>
                                </a:solidFill>
                                <a:latin typeface="+mn-lt"/>
                                <a:ea typeface="+mn-ea"/>
                                <a:cs typeface="+mn-cs"/>
                              </a:rPr>
                            </m:ctrlPr>
                          </m:sSupPr>
                          <m:e>
                            <m:d>
                              <m:dPr>
                                <m:begChr m:val=""/>
                                <m:endChr m:val=""/>
                                <m:ctrlPr>
                                  <a:rPr lang="ar-AE" sz="1100" i="1">
                                    <a:solidFill>
                                      <a:schemeClr val="lt1"/>
                                    </a:solidFill>
                                    <a:latin typeface="+mn-lt"/>
                                    <a:ea typeface="+mn-ea"/>
                                    <a:cs typeface="+mn-cs"/>
                                  </a:rPr>
                                </m:ctrlPr>
                              </m:dPr>
                              <m:e>
                                <m:r>
                                  <a:rPr lang="ar-AE" sz="1100" i="0">
                                    <a:solidFill>
                                      <a:schemeClr val="lt1"/>
                                    </a:solidFill>
                                    <a:latin typeface="+mn-lt"/>
                                    <a:ea typeface="+mn-ea"/>
                                    <a:cs typeface="+mn-cs"/>
                                  </a:rPr>
                                  <m:t>)</m:t>
                                </m:r>
                              </m:e>
                            </m:d>
                          </m:e>
                          <m:sup>
                            <m:r>
                              <a:rPr lang="ar-AE" sz="1100" i="0">
                                <a:solidFill>
                                  <a:schemeClr val="lt1"/>
                                </a:solidFill>
                                <a:latin typeface="+mn-lt"/>
                                <a:ea typeface="+mn-ea"/>
                                <a:cs typeface="+mn-cs"/>
                              </a:rPr>
                              <m:t>5</m:t>
                            </m:r>
                          </m:sup>
                        </m:sSup>
                        <m:r>
                          <a:rPr lang="ar-AE" sz="1100" i="0">
                            <a:solidFill>
                              <a:schemeClr val="lt1"/>
                            </a:solidFill>
                            <a:latin typeface="+mn-lt"/>
                            <a:ea typeface="+mn-ea"/>
                            <a:cs typeface="+mn-cs"/>
                          </a:rPr>
                          <m:t>≈127.63</m:t>
                        </m:r>
                      </m:e>
                    </m:d>
                  </m:oMath>
                </m:oMathPara>
              </a14:m>
              <a:endParaRPr lang="ar-AE"/>
            </a:p>
            <a:p>
              <a:r>
                <a:rPr lang="ar-AE"/>
                <a:t>✔ </a:t>
              </a:r>
              <a:r>
                <a:rPr lang="ar-AE" b="1"/>
                <a:t>$100 </a:t>
              </a:r>
              <a:r>
                <a:rPr lang="en-US" b="1"/>
                <a:t>today becomes about $127.63 in 5 years</a:t>
              </a:r>
              <a:br>
                <a:rPr lang="en-US"/>
              </a:br>
              <a:r>
                <a:rPr lang="en-US"/>
                <a:t>✔ </a:t>
              </a:r>
              <a:r>
                <a:rPr lang="en-US" b="1"/>
                <a:t>$100 in 5 years stays $100</a:t>
              </a:r>
              <a:endParaRPr lang="en-US"/>
            </a:p>
            <a:p>
              <a:r>
                <a:rPr lang="en-US"/>
                <a:t>👉 </a:t>
              </a:r>
              <a:r>
                <a:rPr lang="en-US" b="1"/>
                <a:t>Therefore: It's better to get the $100 now.</a:t>
              </a:r>
              <a:br>
                <a:rPr lang="en-US"/>
              </a:br>
              <a:endParaRPr lang="en-US"/>
            </a:p>
            <a:p>
              <a:r>
                <a:rPr lang="en-US" b="1" u="sng"/>
                <a:t>⭐ DISCOUNTING (Money Moving Backward in Time) (Discount</a:t>
              </a:r>
              <a:r>
                <a:rPr lang="en-US" b="1" u="sng" baseline="0"/>
                <a:t> Rate)</a:t>
              </a:r>
              <a:endParaRPr lang="en-US" b="1" u="sng"/>
            </a:p>
            <a:p>
              <a:r>
                <a:rPr lang="en-US" b="1"/>
                <a:t>What it means:</a:t>
              </a:r>
            </a:p>
            <a:p>
              <a:r>
                <a:rPr lang="en-US"/>
                <a:t>Discounting is the </a:t>
              </a:r>
              <a:r>
                <a:rPr lang="en-US" b="1"/>
                <a:t>reverse</a:t>
              </a:r>
              <a:r>
                <a:rPr lang="en-US"/>
                <a:t> of compounding.</a:t>
              </a:r>
              <a:br>
                <a:rPr lang="en-US"/>
              </a:br>
              <a:r>
                <a:rPr lang="en-US"/>
                <a:t>It tells you how much </a:t>
              </a:r>
              <a:r>
                <a:rPr lang="en-US" b="1"/>
                <a:t>future money</a:t>
              </a:r>
              <a:r>
                <a:rPr lang="en-US"/>
                <a:t> is worth </a:t>
              </a:r>
              <a:r>
                <a:rPr lang="en-US" b="1"/>
                <a:t>today</a:t>
              </a:r>
              <a:r>
                <a:rPr lang="en-US"/>
                <a:t>.</a:t>
              </a:r>
            </a:p>
            <a:p>
              <a:r>
                <a:rPr lang="en-US" b="1"/>
                <a:t>Formula:</a:t>
              </a:r>
            </a:p>
            <a:p>
              <a14:m>
                <m:oMathPara xmlns:m="http://schemas.openxmlformats.org/officeDocument/2006/math">
                  <m:oMathParaPr>
                    <m:jc m:val="centerGroup"/>
                  </m:oMathParaPr>
                  <m:oMath xmlns:m="http://schemas.openxmlformats.org/officeDocument/2006/math">
                    <m:r>
                      <m:rPr>
                        <m:nor/>
                      </m:rPr>
                      <a:rPr lang="en-US" b="0"/>
                      <m:t>Present</m:t>
                    </m:r>
                    <m:r>
                      <m:rPr>
                        <m:nor/>
                      </m:rPr>
                      <a:rPr lang="en-US" b="0" i="1"/>
                      <m:t> </m:t>
                    </m:r>
                    <m:r>
                      <m:rPr>
                        <m:nor/>
                      </m:rPr>
                      <a:rPr lang="en-US" b="0" i="1"/>
                      <m:t>Value</m:t>
                    </m:r>
                    <m:r>
                      <a:rPr lang="en-US" sz="1100" b="0" i="0">
                        <a:solidFill>
                          <a:schemeClr val="lt1"/>
                        </a:solidFill>
                        <a:latin typeface="+mn-lt"/>
                        <a:ea typeface="+mn-ea"/>
                        <a:cs typeface="+mn-cs"/>
                      </a:rPr>
                      <m:t>=</m:t>
                    </m:r>
                    <m:f>
                      <m:fPr>
                        <m:ctrlPr>
                          <a:rPr lang="ar-AE" sz="1100" b="0" i="1">
                            <a:solidFill>
                              <a:schemeClr val="lt1"/>
                            </a:solidFill>
                            <a:latin typeface="+mn-lt"/>
                            <a:ea typeface="+mn-ea"/>
                            <a:cs typeface="+mn-cs"/>
                          </a:rPr>
                        </m:ctrlPr>
                      </m:fPr>
                      <m:num>
                        <m:r>
                          <m:rPr>
                            <m:nor/>
                          </m:rPr>
                          <a:rPr lang="en-US" sz="1100" b="0" i="1">
                            <a:solidFill>
                              <a:schemeClr val="lt1"/>
                            </a:solidFill>
                            <a:latin typeface="+mn-lt"/>
                            <a:ea typeface="+mn-ea"/>
                            <a:cs typeface="+mn-cs"/>
                          </a:rPr>
                          <m:t>Future</m:t>
                        </m:r>
                        <m:r>
                          <m:rPr>
                            <m:nor/>
                          </m:rPr>
                          <a:rPr lang="en-US" sz="1100" b="0" i="1">
                            <a:solidFill>
                              <a:schemeClr val="lt1"/>
                            </a:solidFill>
                            <a:latin typeface="+mn-lt"/>
                            <a:ea typeface="+mn-ea"/>
                            <a:cs typeface="+mn-cs"/>
                          </a:rPr>
                          <m:t> </m:t>
                        </m:r>
                        <m:r>
                          <m:rPr>
                            <m:nor/>
                          </m:rPr>
                          <a:rPr lang="en-US" sz="1100" b="0" i="1">
                            <a:solidFill>
                              <a:schemeClr val="lt1"/>
                            </a:solidFill>
                            <a:latin typeface="+mn-lt"/>
                            <a:ea typeface="+mn-ea"/>
                            <a:cs typeface="+mn-cs"/>
                          </a:rPr>
                          <m:t>Value</m:t>
                        </m:r>
                      </m:num>
                      <m:den>
                        <m:d>
                          <m:dPr>
                            <m:endChr m:val=""/>
                            <m:ctrlPr>
                              <a:rPr lang="ar-AE" sz="1100" b="0" i="1">
                                <a:solidFill>
                                  <a:schemeClr val="lt1"/>
                                </a:solidFill>
                                <a:latin typeface="+mn-lt"/>
                                <a:ea typeface="+mn-ea"/>
                                <a:cs typeface="+mn-cs"/>
                              </a:rPr>
                            </m:ctrlPr>
                          </m:dPr>
                          <m:e>
                            <m:r>
                              <a:rPr lang="ar-AE" sz="1100" b="0" i="0">
                                <a:solidFill>
                                  <a:schemeClr val="lt1"/>
                                </a:solidFill>
                                <a:latin typeface="+mn-lt"/>
                                <a:ea typeface="+mn-ea"/>
                                <a:cs typeface="+mn-cs"/>
                              </a:rPr>
                              <m:t>1+</m:t>
                            </m:r>
                            <m:r>
                              <a:rPr lang="ar-AE" sz="1100" b="0" i="1">
                                <a:solidFill>
                                  <a:schemeClr val="lt1"/>
                                </a:solidFill>
                                <a:latin typeface="+mn-lt"/>
                                <a:ea typeface="+mn-ea"/>
                                <a:cs typeface="+mn-cs"/>
                              </a:rPr>
                              <m:t>𝑟</m:t>
                            </m:r>
                            <m:sSup>
                              <m:sSupPr>
                                <m:ctrlPr>
                                  <a:rPr lang="ar-AE" sz="1100" b="0" i="1">
                                    <a:solidFill>
                                      <a:schemeClr val="lt1"/>
                                    </a:solidFill>
                                    <a:latin typeface="+mn-lt"/>
                                    <a:ea typeface="+mn-ea"/>
                                    <a:cs typeface="+mn-cs"/>
                                  </a:rPr>
                                </m:ctrlPr>
                              </m:sSupPr>
                              <m:e>
                                <m:d>
                                  <m:dPr>
                                    <m:begChr m:val=""/>
                                    <m:endChr m:val=""/>
                                    <m:ctrlPr>
                                      <a:rPr lang="ar-AE" sz="1100" b="0" i="1">
                                        <a:solidFill>
                                          <a:schemeClr val="lt1"/>
                                        </a:solidFill>
                                        <a:latin typeface="+mn-lt"/>
                                        <a:ea typeface="+mn-ea"/>
                                        <a:cs typeface="+mn-cs"/>
                                      </a:rPr>
                                    </m:ctrlPr>
                                  </m:dPr>
                                  <m:e>
                                    <m:r>
                                      <a:rPr lang="ar-AE" sz="1100" b="0" i="0">
                                        <a:solidFill>
                                          <a:schemeClr val="lt1"/>
                                        </a:solidFill>
                                        <a:latin typeface="+mn-lt"/>
                                        <a:ea typeface="+mn-ea"/>
                                        <a:cs typeface="+mn-cs"/>
                                      </a:rPr>
                                      <m:t>)</m:t>
                                    </m:r>
                                  </m:e>
                                </m:d>
                              </m:e>
                              <m:sup>
                                <m:r>
                                  <a:rPr lang="ar-AE" sz="1100" b="0" i="1">
                                    <a:solidFill>
                                      <a:schemeClr val="lt1"/>
                                    </a:solidFill>
                                    <a:latin typeface="+mn-lt"/>
                                    <a:ea typeface="+mn-ea"/>
                                    <a:cs typeface="+mn-cs"/>
                                  </a:rPr>
                                  <m:t>𝑡</m:t>
                                </m:r>
                              </m:sup>
                            </m:sSup>
                          </m:e>
                        </m:d>
                      </m:den>
                    </m:f>
                  </m:oMath>
                </m:oMathPara>
              </a14:m>
              <a:endParaRPr lang="ar-AE" b="0"/>
            </a:p>
            <a:p>
              <a:r>
                <a:rPr lang="en-US"/>
                <a:t>Same interest rate (r)</a:t>
              </a:r>
            </a:p>
            <a:p>
              <a:r>
                <a:rPr lang="en-US"/>
                <a:t>Same time (t)</a:t>
              </a:r>
            </a:p>
            <a:p>
              <a:r>
                <a:rPr lang="en-US"/>
                <a:t>But now we </a:t>
              </a:r>
              <a:r>
                <a:rPr lang="en-US" b="1"/>
                <a:t>divide</a:t>
              </a:r>
              <a:r>
                <a:rPr lang="en-US"/>
                <a:t>, because we are moving backward in time.</a:t>
              </a:r>
              <a:br>
                <a:rPr lang="en-US"/>
              </a:br>
              <a:endParaRPr lang="en-US"/>
            </a:p>
            <a:p>
              <a:r>
                <a:rPr lang="en-US" b="1"/>
                <a:t>⭐ Why it matters:</a:t>
              </a:r>
            </a:p>
            <a:p>
              <a:r>
                <a:rPr lang="en-US"/>
                <a:t>Businesses use discounting to compare </a:t>
              </a:r>
              <a:r>
                <a:rPr lang="en-US" b="1"/>
                <a:t>future profits</a:t>
              </a:r>
              <a:r>
                <a:rPr lang="en-US"/>
                <a:t> to </a:t>
              </a:r>
              <a:r>
                <a:rPr lang="en-US" b="1"/>
                <a:t>today’s costs</a:t>
              </a:r>
              <a:r>
                <a:rPr lang="en-US"/>
                <a:t>.</a:t>
              </a:r>
              <a:br>
                <a:rPr lang="en-US"/>
              </a:br>
              <a:r>
                <a:rPr lang="en-US"/>
                <a:t>Because a dollar in the future is </a:t>
              </a:r>
              <a:r>
                <a:rPr lang="en-US" b="1"/>
                <a:t>not worth</a:t>
              </a:r>
              <a:r>
                <a:rPr lang="en-US"/>
                <a:t> the same as a dollar today.</a:t>
              </a:r>
            </a:p>
            <a:p>
              <a:endParaRPr lang="en-US"/>
            </a:p>
            <a:p>
              <a:r>
                <a:rPr lang="en-US" b="1"/>
                <a:t>⭐ Example: $200 profit in 5 years</a:t>
              </a:r>
            </a:p>
            <a:p>
              <a:r>
                <a:rPr lang="en-US"/>
                <a:t>Interest rate = </a:t>
              </a:r>
              <a:r>
                <a:rPr lang="en-US" b="1"/>
                <a:t>5%</a:t>
              </a:r>
              <a:endParaRPr lang="en-US"/>
            </a:p>
            <a:p>
              <a14:m>
                <m:oMathPara xmlns:m="http://schemas.openxmlformats.org/officeDocument/2006/math">
                  <m:oMathParaPr>
                    <m:jc m:val="centerGroup"/>
                  </m:oMathParaPr>
                  <m:oMath xmlns:m="http://schemas.openxmlformats.org/officeDocument/2006/math">
                    <m:r>
                      <m:rPr>
                        <m:nor/>
                      </m:rPr>
                      <a:rPr lang="en-US" b="0"/>
                      <m:t>Present</m:t>
                    </m:r>
                    <m:r>
                      <m:rPr>
                        <m:nor/>
                      </m:rPr>
                      <a:rPr lang="en-US" b="0" i="1"/>
                      <m:t> </m:t>
                    </m:r>
                    <m:r>
                      <m:rPr>
                        <m:nor/>
                      </m:rPr>
                      <a:rPr lang="en-US" b="0" i="1"/>
                      <m:t>Value</m:t>
                    </m:r>
                    <m:r>
                      <a:rPr lang="en-US" sz="1100" b="0" i="0">
                        <a:solidFill>
                          <a:schemeClr val="lt1"/>
                        </a:solidFill>
                        <a:latin typeface="+mn-lt"/>
                        <a:ea typeface="+mn-ea"/>
                        <a:cs typeface="+mn-cs"/>
                      </a:rPr>
                      <m:t>=</m:t>
                    </m:r>
                    <m:f>
                      <m:fPr>
                        <m:ctrlPr>
                          <a:rPr lang="ar-AE" sz="1100" b="0" i="1">
                            <a:solidFill>
                              <a:schemeClr val="lt1"/>
                            </a:solidFill>
                            <a:latin typeface="+mn-lt"/>
                            <a:ea typeface="+mn-ea"/>
                            <a:cs typeface="+mn-cs"/>
                          </a:rPr>
                        </m:ctrlPr>
                      </m:fPr>
                      <m:num>
                        <m:r>
                          <a:rPr lang="ar-AE" sz="1100" b="0" i="0">
                            <a:solidFill>
                              <a:schemeClr val="lt1"/>
                            </a:solidFill>
                            <a:latin typeface="+mn-lt"/>
                            <a:ea typeface="+mn-ea"/>
                            <a:cs typeface="+mn-cs"/>
                          </a:rPr>
                          <m:t>200</m:t>
                        </m:r>
                      </m:num>
                      <m:den>
                        <m:d>
                          <m:dPr>
                            <m:endChr m:val=""/>
                            <m:ctrlPr>
                              <a:rPr lang="ar-AE" sz="1100" b="0" i="1">
                                <a:solidFill>
                                  <a:schemeClr val="lt1"/>
                                </a:solidFill>
                                <a:latin typeface="+mn-lt"/>
                                <a:ea typeface="+mn-ea"/>
                                <a:cs typeface="+mn-cs"/>
                              </a:rPr>
                            </m:ctrlPr>
                          </m:dPr>
                          <m:e>
                            <m:r>
                              <a:rPr lang="ar-AE" sz="1100" b="0" i="0">
                                <a:solidFill>
                                  <a:schemeClr val="lt1"/>
                                </a:solidFill>
                                <a:latin typeface="+mn-lt"/>
                                <a:ea typeface="+mn-ea"/>
                                <a:cs typeface="+mn-cs"/>
                              </a:rPr>
                              <m:t>1.05</m:t>
                            </m:r>
                            <m:sSup>
                              <m:sSupPr>
                                <m:ctrlPr>
                                  <a:rPr lang="ar-AE" sz="1100" b="0" i="1">
                                    <a:solidFill>
                                      <a:schemeClr val="lt1"/>
                                    </a:solidFill>
                                    <a:latin typeface="+mn-lt"/>
                                    <a:ea typeface="+mn-ea"/>
                                    <a:cs typeface="+mn-cs"/>
                                  </a:rPr>
                                </m:ctrlPr>
                              </m:sSupPr>
                              <m:e>
                                <m:d>
                                  <m:dPr>
                                    <m:begChr m:val=""/>
                                    <m:endChr m:val=""/>
                                    <m:ctrlPr>
                                      <a:rPr lang="ar-AE" sz="1100" b="0" i="1">
                                        <a:solidFill>
                                          <a:schemeClr val="lt1"/>
                                        </a:solidFill>
                                        <a:latin typeface="+mn-lt"/>
                                        <a:ea typeface="+mn-ea"/>
                                        <a:cs typeface="+mn-cs"/>
                                      </a:rPr>
                                    </m:ctrlPr>
                                  </m:dPr>
                                  <m:e>
                                    <m:r>
                                      <a:rPr lang="ar-AE" sz="1100" b="0" i="0">
                                        <a:solidFill>
                                          <a:schemeClr val="lt1"/>
                                        </a:solidFill>
                                        <a:latin typeface="+mn-lt"/>
                                        <a:ea typeface="+mn-ea"/>
                                        <a:cs typeface="+mn-cs"/>
                                      </a:rPr>
                                      <m:t>)</m:t>
                                    </m:r>
                                  </m:e>
                                </m:d>
                              </m:e>
                              <m:sup>
                                <m:r>
                                  <a:rPr lang="ar-AE" sz="1100" b="0" i="0">
                                    <a:solidFill>
                                      <a:schemeClr val="lt1"/>
                                    </a:solidFill>
                                    <a:latin typeface="+mn-lt"/>
                                    <a:ea typeface="+mn-ea"/>
                                    <a:cs typeface="+mn-cs"/>
                                  </a:rPr>
                                  <m:t>5</m:t>
                                </m:r>
                              </m:sup>
                            </m:sSup>
                          </m:e>
                        </m:d>
                      </m:den>
                    </m:f>
                    <m:r>
                      <a:rPr lang="ar-AE" sz="1100" b="0" i="0">
                        <a:solidFill>
                          <a:schemeClr val="lt1"/>
                        </a:solidFill>
                        <a:latin typeface="+mn-lt"/>
                        <a:ea typeface="+mn-ea"/>
                        <a:cs typeface="+mn-cs"/>
                      </a:rPr>
                      <m:t>≈157</m:t>
                    </m:r>
                  </m:oMath>
                </m:oMathPara>
              </a14:m>
              <a:endParaRPr lang="ar-AE" b="0"/>
            </a:p>
            <a:p>
              <a:r>
                <a:rPr lang="ar-AE"/>
                <a:t>✔ </a:t>
              </a:r>
              <a:r>
                <a:rPr lang="ar-AE" b="1"/>
                <a:t>$200 </a:t>
              </a:r>
              <a:r>
                <a:rPr lang="en-US" b="1"/>
                <a:t>in 5 years is worth about $157 today</a:t>
              </a:r>
              <a:br>
                <a:rPr lang="en-US"/>
              </a:br>
              <a:r>
                <a:rPr lang="en-US"/>
                <a:t>✔ Future money loses value because you could have invested earlier.</a:t>
              </a:r>
              <a:br>
                <a:rPr lang="en-US"/>
              </a:br>
              <a:endParaRPr lang="en-US"/>
            </a:p>
            <a:p>
              <a:r>
                <a:rPr lang="en-US" b="1" u="sng"/>
                <a:t>⭐ ONE-SENTENCE SUMMARY</a:t>
              </a:r>
            </a:p>
            <a:p>
              <a:r>
                <a:rPr lang="en-US" b="1"/>
                <a:t>Compounding moves money forward in time and grows it.</a:t>
              </a:r>
              <a:br>
                <a:rPr lang="en-US" b="1"/>
              </a:br>
              <a:r>
                <a:rPr lang="en-US" b="1"/>
                <a:t>Discounting moves money backward in time and tells you what future money is worth today.</a:t>
              </a:r>
              <a:endParaRPr lang="en-US"/>
            </a:p>
            <a:p>
              <a:pPr algn="l"/>
              <a:endParaRPr lang="en-US" sz="1100"/>
            </a:p>
            <a:p>
              <a:pPr algn="l"/>
              <a:endParaRPr lang="en-US" sz="1100"/>
            </a:p>
            <a:p>
              <a:pPr algn="l"/>
              <a:endParaRPr lang="en-US" sz="1100"/>
            </a:p>
            <a:p>
              <a:pPr marL="0" marR="0" lvl="0" indent="0" algn="l" defTabSz="914400" eaLnBrk="1" fontAlgn="auto" latinLnBrk="0" hangingPunct="1">
                <a:lnSpc>
                  <a:spcPct val="100000"/>
                </a:lnSpc>
                <a:spcBef>
                  <a:spcPts val="0"/>
                </a:spcBef>
                <a:spcAft>
                  <a:spcPts val="0"/>
                </a:spcAft>
                <a:buClrTx/>
                <a:buSzTx/>
                <a:buFontTx/>
                <a:buNone/>
                <a:tabLst/>
                <a:defRPr/>
              </a:pPr>
              <a:r>
                <a:rPr lang="en-US" sz="1100" b="1" i="0" u="sng" strike="noStrike">
                  <a:solidFill>
                    <a:schemeClr val="lt1"/>
                  </a:solidFill>
                  <a:effectLst/>
                  <a:latin typeface="+mn-lt"/>
                  <a:ea typeface="+mn-ea"/>
                  <a:cs typeface="+mn-cs"/>
                </a:rPr>
                <a:t>Acqusition cos</a:t>
              </a:r>
              <a:r>
                <a:rPr lang="en-US" sz="1100" b="0" i="0" u="none" strike="noStrike">
                  <a:solidFill>
                    <a:schemeClr val="lt1"/>
                  </a:solidFill>
                  <a:effectLst/>
                  <a:latin typeface="+mn-lt"/>
                  <a:ea typeface="+mn-ea"/>
                  <a:cs typeface="+mn-cs"/>
                </a:rPr>
                <a:t>t: Any incentives paid to user/subscribers to sign-up</a:t>
              </a:r>
              <a:r>
                <a:rPr lang="en-US">
                  <a:effectLst/>
                </a:rPr>
                <a:t> </a:t>
              </a:r>
              <a:r>
                <a:rPr lang="en-US" sz="1100" b="0" i="0" u="none" strike="noStrike">
                  <a:solidFill>
                    <a:schemeClr val="lt1"/>
                  </a:solidFill>
                  <a:effectLst/>
                  <a:latin typeface="+mn-lt"/>
                  <a:ea typeface="+mn-ea"/>
                  <a:cs typeface="+mn-cs"/>
                </a:rPr>
                <a:t> </a:t>
              </a:r>
              <a:r>
                <a:rPr lang="en-US">
                  <a:effectLst/>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a:effectLst/>
                </a:rPr>
                <a:t>- How much money does it take to acquire</a:t>
              </a:r>
              <a:r>
                <a:rPr lang="en-US" baseline="0">
                  <a:effectLst/>
                </a:rPr>
                <a:t> users?</a:t>
              </a: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i="0" u="sng" strike="noStrike">
                  <a:solidFill>
                    <a:schemeClr val="lt1"/>
                  </a:solidFill>
                  <a:effectLst/>
                  <a:latin typeface="+mn-lt"/>
                  <a:ea typeface="+mn-ea"/>
                  <a:cs typeface="+mn-cs"/>
                </a:rPr>
                <a:t>Retention cost</a:t>
              </a:r>
              <a:r>
                <a:rPr lang="en-US" sz="1100" b="0" i="0" u="none" strike="noStrike">
                  <a:solidFill>
                    <a:schemeClr val="lt1"/>
                  </a:solidFill>
                  <a:effectLst/>
                  <a:latin typeface="+mn-lt"/>
                  <a:ea typeface="+mn-ea"/>
                  <a:cs typeface="+mn-cs"/>
                </a:rPr>
                <a:t>: Any incentives paid to user/subscriber to continue coming back</a:t>
              </a:r>
              <a:r>
                <a:rPr lang="en-US">
                  <a:effectLst/>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a:effectLst/>
                </a:rPr>
                <a:t>- How much money does it take to retain users?</a:t>
              </a:r>
            </a:p>
            <a:p>
              <a:pPr algn="l"/>
              <a:endParaRPr lang="en-US" sz="1100"/>
            </a:p>
            <a:p>
              <a:pPr algn="l"/>
              <a:endParaRPr lang="en-US" sz="1100"/>
            </a:p>
            <a:p>
              <a:pPr algn="l"/>
              <a:endParaRPr lang="en-US" sz="1100"/>
            </a:p>
          </xdr:txBody>
        </xdr:sp>
      </mc:Choice>
      <mc:Fallback>
        <xdr:sp macro="" textlink="">
          <xdr:nvSpPr>
            <xdr:cNvPr id="2" name="Rectangle 1">
              <a:extLst>
                <a:ext uri="{FF2B5EF4-FFF2-40B4-BE49-F238E27FC236}">
                  <a16:creationId xmlns:a16="http://schemas.microsoft.com/office/drawing/2014/main" id="{5B7654A1-050D-DCC2-D7C0-B919FF233611}"/>
                </a:ext>
              </a:extLst>
            </xdr:cNvPr>
            <xdr:cNvSpPr/>
          </xdr:nvSpPr>
          <xdr:spPr>
            <a:xfrm>
              <a:off x="698500" y="10083800"/>
              <a:ext cx="8458200" cy="9359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b="1" u="sng"/>
                <a:t>⭐ COMPOUNDING (Money Growing Forward) (Interest Rate)</a:t>
              </a:r>
            </a:p>
            <a:p>
              <a:r>
                <a:rPr lang="en-US" b="1"/>
                <a:t>What it means:</a:t>
              </a:r>
            </a:p>
            <a:p>
              <a:r>
                <a:rPr lang="en-US"/>
                <a:t>Compounding is when money today grows into </a:t>
              </a:r>
              <a:r>
                <a:rPr lang="en-US" b="1"/>
                <a:t>more money</a:t>
              </a:r>
              <a:r>
                <a:rPr lang="en-US"/>
                <a:t> in the future because you earn interest </a:t>
              </a:r>
              <a:r>
                <a:rPr lang="en-US" b="1"/>
                <a:t>on your money + on past interest.</a:t>
              </a:r>
              <a:endParaRPr lang="en-US"/>
            </a:p>
            <a:p>
              <a:r>
                <a:rPr lang="en-US" b="1"/>
                <a:t>Formula:</a:t>
              </a:r>
            </a:p>
            <a:p>
              <a:r>
                <a:rPr lang="en-US" b="0" i="0">
                  <a:latin typeface="Cambria Math" panose="02040503050406030204" pitchFamily="18" charset="0"/>
                </a:rPr>
                <a:t>"Future Value</a:t>
              </a:r>
              <a:r>
                <a:rPr lang="en-US" sz="1100" b="0" i="0">
                  <a:solidFill>
                    <a:schemeClr val="lt1"/>
                  </a:solidFill>
                  <a:latin typeface="+mn-lt"/>
                  <a:ea typeface="+mn-ea"/>
                  <a:cs typeface="+mn-cs"/>
                </a:rPr>
                <a:t>"=</a:t>
              </a:r>
              <a:r>
                <a:rPr lang="en-US" sz="1100" b="0" i="0">
                  <a:solidFill>
                    <a:schemeClr val="lt1"/>
                  </a:solidFill>
                  <a:latin typeface="Cambria Math" panose="02040503050406030204" pitchFamily="18" charset="0"/>
                  <a:ea typeface="+mn-ea"/>
                  <a:cs typeface="+mn-cs"/>
                </a:rPr>
                <a:t>"Present Value</a:t>
              </a:r>
              <a:r>
                <a:rPr lang="en-US" sz="1100" b="0" i="0">
                  <a:solidFill>
                    <a:schemeClr val="lt1"/>
                  </a:solidFill>
                  <a:latin typeface="+mn-lt"/>
                  <a:ea typeface="+mn-ea"/>
                  <a:cs typeface="+mn-cs"/>
                </a:rPr>
                <a:t>"×</a:t>
              </a:r>
              <a:r>
                <a:rPr lang="ar-AE" sz="1100" b="0" i="0">
                  <a:solidFill>
                    <a:schemeClr val="lt1"/>
                  </a:solidFill>
                  <a:latin typeface="+mn-lt"/>
                  <a:ea typeface="+mn-ea"/>
                  <a:cs typeface="+mn-cs"/>
                </a:rPr>
                <a:t>(1+𝑟├ )┤^𝑡 ┤</a:t>
              </a:r>
              <a:endParaRPr lang="ar-AE" b="0"/>
            </a:p>
            <a:p>
              <a:r>
                <a:rPr lang="en-US" b="1"/>
                <a:t>r</a:t>
              </a:r>
              <a:r>
                <a:rPr lang="en-US"/>
                <a:t> = interest rate</a:t>
              </a:r>
            </a:p>
            <a:p>
              <a:r>
                <a:rPr lang="en-US" b="1"/>
                <a:t>t</a:t>
              </a:r>
              <a:r>
                <a:rPr lang="en-US"/>
                <a:t> = number of years</a:t>
              </a:r>
              <a:br>
                <a:rPr lang="en-US"/>
              </a:br>
              <a:endParaRPr lang="en-US"/>
            </a:p>
            <a:p>
              <a:r>
                <a:rPr lang="en-US" b="1"/>
                <a:t>⭐ Why it matters:</a:t>
              </a:r>
            </a:p>
            <a:p>
              <a:r>
                <a:rPr lang="en-US"/>
                <a:t>It shows why </a:t>
              </a:r>
              <a:r>
                <a:rPr lang="en-US" b="1"/>
                <a:t>money today is worth more</a:t>
              </a:r>
              <a:r>
                <a:rPr lang="en-US"/>
                <a:t> than the same amount in the future.</a:t>
              </a:r>
              <a:br>
                <a:rPr lang="en-US"/>
              </a:br>
              <a:endParaRPr lang="en-US"/>
            </a:p>
            <a:p>
              <a:r>
                <a:rPr lang="en-US" b="1"/>
                <a:t>⭐ Example: $100 now vs. $100 in 5 years</a:t>
              </a:r>
            </a:p>
            <a:p>
              <a:r>
                <a:rPr lang="en-US"/>
                <a:t>Interest rate = </a:t>
              </a:r>
              <a:r>
                <a:rPr lang="en-US" b="1"/>
                <a:t>5%</a:t>
              </a:r>
              <a:endParaRPr lang="en-US"/>
            </a:p>
            <a:p>
              <a:r>
                <a:rPr lang="en-US" sz="1100" i="0">
                  <a:solidFill>
                    <a:schemeClr val="lt1"/>
                  </a:solidFill>
                  <a:latin typeface="+mn-lt"/>
                  <a:ea typeface="+mn-ea"/>
                  <a:cs typeface="+mn-cs"/>
                </a:rPr>
                <a:t>100×</a:t>
              </a:r>
              <a:r>
                <a:rPr lang="ar-AE" sz="1100" i="0">
                  <a:solidFill>
                    <a:schemeClr val="lt1"/>
                  </a:solidFill>
                  <a:latin typeface="+mn-lt"/>
                  <a:ea typeface="+mn-ea"/>
                  <a:cs typeface="+mn-cs"/>
                </a:rPr>
                <a:t>(1.05├ )┤^5≈127.63┤</a:t>
              </a:r>
              <a:endParaRPr lang="ar-AE"/>
            </a:p>
            <a:p>
              <a:r>
                <a:rPr lang="ar-AE"/>
                <a:t>✔ </a:t>
              </a:r>
              <a:r>
                <a:rPr lang="ar-AE" b="1"/>
                <a:t>$100 </a:t>
              </a:r>
              <a:r>
                <a:rPr lang="en-US" b="1"/>
                <a:t>today becomes about $127.63 in 5 years</a:t>
              </a:r>
              <a:br>
                <a:rPr lang="en-US"/>
              </a:br>
              <a:r>
                <a:rPr lang="en-US"/>
                <a:t>✔ </a:t>
              </a:r>
              <a:r>
                <a:rPr lang="en-US" b="1"/>
                <a:t>$100 in 5 years stays $100</a:t>
              </a:r>
              <a:endParaRPr lang="en-US"/>
            </a:p>
            <a:p>
              <a:r>
                <a:rPr lang="en-US"/>
                <a:t>👉 </a:t>
              </a:r>
              <a:r>
                <a:rPr lang="en-US" b="1"/>
                <a:t>Therefore: It's better to get the $100 now.</a:t>
              </a:r>
              <a:br>
                <a:rPr lang="en-US"/>
              </a:br>
              <a:endParaRPr lang="en-US"/>
            </a:p>
            <a:p>
              <a:r>
                <a:rPr lang="en-US" b="1" u="sng"/>
                <a:t>⭐ DISCOUNTING (Money Moving Backward in Time) (Discount</a:t>
              </a:r>
              <a:r>
                <a:rPr lang="en-US" b="1" u="sng" baseline="0"/>
                <a:t> Rate)</a:t>
              </a:r>
              <a:endParaRPr lang="en-US" b="1" u="sng"/>
            </a:p>
            <a:p>
              <a:r>
                <a:rPr lang="en-US" b="1"/>
                <a:t>What it means:</a:t>
              </a:r>
            </a:p>
            <a:p>
              <a:r>
                <a:rPr lang="en-US"/>
                <a:t>Discounting is the </a:t>
              </a:r>
              <a:r>
                <a:rPr lang="en-US" b="1"/>
                <a:t>reverse</a:t>
              </a:r>
              <a:r>
                <a:rPr lang="en-US"/>
                <a:t> of compounding.</a:t>
              </a:r>
              <a:br>
                <a:rPr lang="en-US"/>
              </a:br>
              <a:r>
                <a:rPr lang="en-US"/>
                <a:t>It tells you how much </a:t>
              </a:r>
              <a:r>
                <a:rPr lang="en-US" b="1"/>
                <a:t>future money</a:t>
              </a:r>
              <a:r>
                <a:rPr lang="en-US"/>
                <a:t> is worth </a:t>
              </a:r>
              <a:r>
                <a:rPr lang="en-US" b="1"/>
                <a:t>today</a:t>
              </a:r>
              <a:r>
                <a:rPr lang="en-US"/>
                <a:t>.</a:t>
              </a:r>
            </a:p>
            <a:p>
              <a:r>
                <a:rPr lang="en-US" b="1"/>
                <a:t>Formula:</a:t>
              </a:r>
            </a:p>
            <a:p>
              <a:r>
                <a:rPr lang="en-US" b="0" i="0">
                  <a:latin typeface="Cambria Math" panose="02040503050406030204" pitchFamily="18" charset="0"/>
                </a:rPr>
                <a:t>"Present Value</a:t>
              </a:r>
              <a:r>
                <a:rPr lang="en-US" sz="1100" b="0" i="0">
                  <a:solidFill>
                    <a:schemeClr val="lt1"/>
                  </a:solidFill>
                  <a:latin typeface="+mn-lt"/>
                  <a:ea typeface="+mn-ea"/>
                  <a:cs typeface="+mn-cs"/>
                </a:rPr>
                <a:t>"="Future Value</a:t>
              </a:r>
              <a:r>
                <a:rPr lang="ar-AE" sz="1100" b="0" i="0">
                  <a:solidFill>
                    <a:schemeClr val="lt1"/>
                  </a:solidFill>
                  <a:latin typeface="+mn-lt"/>
                  <a:ea typeface="+mn-ea"/>
                  <a:cs typeface="+mn-cs"/>
                </a:rPr>
                <a:t>" /(1+𝑟├ )┤^𝑡 ┤ </a:t>
              </a:r>
              <a:endParaRPr lang="ar-AE" b="0"/>
            </a:p>
            <a:p>
              <a:r>
                <a:rPr lang="en-US"/>
                <a:t>Same interest rate (r)</a:t>
              </a:r>
            </a:p>
            <a:p>
              <a:r>
                <a:rPr lang="en-US"/>
                <a:t>Same time (t)</a:t>
              </a:r>
            </a:p>
            <a:p>
              <a:r>
                <a:rPr lang="en-US"/>
                <a:t>But now we </a:t>
              </a:r>
              <a:r>
                <a:rPr lang="en-US" b="1"/>
                <a:t>divide</a:t>
              </a:r>
              <a:r>
                <a:rPr lang="en-US"/>
                <a:t>, because we are moving backward in time.</a:t>
              </a:r>
              <a:br>
                <a:rPr lang="en-US"/>
              </a:br>
              <a:endParaRPr lang="en-US"/>
            </a:p>
            <a:p>
              <a:r>
                <a:rPr lang="en-US" b="1"/>
                <a:t>⭐ Why it matters:</a:t>
              </a:r>
            </a:p>
            <a:p>
              <a:r>
                <a:rPr lang="en-US"/>
                <a:t>Businesses use discounting to compare </a:t>
              </a:r>
              <a:r>
                <a:rPr lang="en-US" b="1"/>
                <a:t>future profits</a:t>
              </a:r>
              <a:r>
                <a:rPr lang="en-US"/>
                <a:t> to </a:t>
              </a:r>
              <a:r>
                <a:rPr lang="en-US" b="1"/>
                <a:t>today’s costs</a:t>
              </a:r>
              <a:r>
                <a:rPr lang="en-US"/>
                <a:t>.</a:t>
              </a:r>
              <a:br>
                <a:rPr lang="en-US"/>
              </a:br>
              <a:r>
                <a:rPr lang="en-US"/>
                <a:t>Because a dollar in the future is </a:t>
              </a:r>
              <a:r>
                <a:rPr lang="en-US" b="1"/>
                <a:t>not worth</a:t>
              </a:r>
              <a:r>
                <a:rPr lang="en-US"/>
                <a:t> the same as a dollar today.</a:t>
              </a:r>
            </a:p>
            <a:p>
              <a:endParaRPr lang="en-US"/>
            </a:p>
            <a:p>
              <a:r>
                <a:rPr lang="en-US" b="1"/>
                <a:t>⭐ Example: $200 profit in 5 years</a:t>
              </a:r>
            </a:p>
            <a:p>
              <a:r>
                <a:rPr lang="en-US"/>
                <a:t>Interest rate = </a:t>
              </a:r>
              <a:r>
                <a:rPr lang="en-US" b="1"/>
                <a:t>5%</a:t>
              </a:r>
              <a:endParaRPr lang="en-US"/>
            </a:p>
            <a:p>
              <a:r>
                <a:rPr lang="en-US" b="0" i="0">
                  <a:latin typeface="Cambria Math" panose="02040503050406030204" pitchFamily="18" charset="0"/>
                </a:rPr>
                <a:t>"Present Value</a:t>
              </a:r>
              <a:r>
                <a:rPr lang="en-US" sz="1100" b="0" i="0">
                  <a:solidFill>
                    <a:schemeClr val="lt1"/>
                  </a:solidFill>
                  <a:latin typeface="+mn-lt"/>
                  <a:ea typeface="+mn-ea"/>
                  <a:cs typeface="+mn-cs"/>
                </a:rPr>
                <a:t>"=</a:t>
              </a:r>
              <a:r>
                <a:rPr lang="ar-AE" sz="1100" b="0" i="0">
                  <a:solidFill>
                    <a:schemeClr val="lt1"/>
                  </a:solidFill>
                  <a:latin typeface="+mn-lt"/>
                  <a:ea typeface="+mn-ea"/>
                  <a:cs typeface="+mn-cs"/>
                </a:rPr>
                <a:t>200/(1.05├ )┤^5 ┤ ≈157</a:t>
              </a:r>
              <a:endParaRPr lang="ar-AE" b="0"/>
            </a:p>
            <a:p>
              <a:r>
                <a:rPr lang="ar-AE"/>
                <a:t>✔ </a:t>
              </a:r>
              <a:r>
                <a:rPr lang="ar-AE" b="1"/>
                <a:t>$200 </a:t>
              </a:r>
              <a:r>
                <a:rPr lang="en-US" b="1"/>
                <a:t>in 5 years is worth about $157 today</a:t>
              </a:r>
              <a:br>
                <a:rPr lang="en-US"/>
              </a:br>
              <a:r>
                <a:rPr lang="en-US"/>
                <a:t>✔ Future money loses value because you could have invested earlier.</a:t>
              </a:r>
              <a:br>
                <a:rPr lang="en-US"/>
              </a:br>
              <a:endParaRPr lang="en-US"/>
            </a:p>
            <a:p>
              <a:r>
                <a:rPr lang="en-US" b="1" u="sng"/>
                <a:t>⭐ ONE-SENTENCE SUMMARY</a:t>
              </a:r>
            </a:p>
            <a:p>
              <a:r>
                <a:rPr lang="en-US" b="1"/>
                <a:t>Compounding moves money forward in time and grows it.</a:t>
              </a:r>
              <a:br>
                <a:rPr lang="en-US" b="1"/>
              </a:br>
              <a:r>
                <a:rPr lang="en-US" b="1"/>
                <a:t>Discounting moves money backward in time and tells you what future money is worth today.</a:t>
              </a:r>
              <a:endParaRPr lang="en-US"/>
            </a:p>
            <a:p>
              <a:pPr algn="l"/>
              <a:endParaRPr lang="en-US" sz="1100"/>
            </a:p>
            <a:p>
              <a:pPr algn="l"/>
              <a:endParaRPr lang="en-US" sz="1100"/>
            </a:p>
            <a:p>
              <a:pPr algn="l"/>
              <a:endParaRPr lang="en-US" sz="1100"/>
            </a:p>
            <a:p>
              <a:pPr marL="0" marR="0" lvl="0" indent="0" algn="l" defTabSz="914400" eaLnBrk="1" fontAlgn="auto" latinLnBrk="0" hangingPunct="1">
                <a:lnSpc>
                  <a:spcPct val="100000"/>
                </a:lnSpc>
                <a:spcBef>
                  <a:spcPts val="0"/>
                </a:spcBef>
                <a:spcAft>
                  <a:spcPts val="0"/>
                </a:spcAft>
                <a:buClrTx/>
                <a:buSzTx/>
                <a:buFontTx/>
                <a:buNone/>
                <a:tabLst/>
                <a:defRPr/>
              </a:pPr>
              <a:r>
                <a:rPr lang="en-US" sz="1100" b="1" i="0" u="sng" strike="noStrike">
                  <a:solidFill>
                    <a:schemeClr val="lt1"/>
                  </a:solidFill>
                  <a:effectLst/>
                  <a:latin typeface="+mn-lt"/>
                  <a:ea typeface="+mn-ea"/>
                  <a:cs typeface="+mn-cs"/>
                </a:rPr>
                <a:t>Acqusition cos</a:t>
              </a:r>
              <a:r>
                <a:rPr lang="en-US" sz="1100" b="0" i="0" u="none" strike="noStrike">
                  <a:solidFill>
                    <a:schemeClr val="lt1"/>
                  </a:solidFill>
                  <a:effectLst/>
                  <a:latin typeface="+mn-lt"/>
                  <a:ea typeface="+mn-ea"/>
                  <a:cs typeface="+mn-cs"/>
                </a:rPr>
                <a:t>t: Any incentives paid to user/subscribers to sign-up</a:t>
              </a:r>
              <a:r>
                <a:rPr lang="en-US">
                  <a:effectLst/>
                </a:rPr>
                <a:t> </a:t>
              </a:r>
              <a:r>
                <a:rPr lang="en-US" sz="1100" b="0" i="0" u="none" strike="noStrike">
                  <a:solidFill>
                    <a:schemeClr val="lt1"/>
                  </a:solidFill>
                  <a:effectLst/>
                  <a:latin typeface="+mn-lt"/>
                  <a:ea typeface="+mn-ea"/>
                  <a:cs typeface="+mn-cs"/>
                </a:rPr>
                <a:t> </a:t>
              </a:r>
              <a:r>
                <a:rPr lang="en-US">
                  <a:effectLst/>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a:effectLst/>
                </a:rPr>
                <a:t>- How much money does it take to acquire</a:t>
              </a:r>
              <a:r>
                <a:rPr lang="en-US" baseline="0">
                  <a:effectLst/>
                </a:rPr>
                <a:t> users?</a:t>
              </a: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i="0" u="sng" strike="noStrike">
                  <a:solidFill>
                    <a:schemeClr val="lt1"/>
                  </a:solidFill>
                  <a:effectLst/>
                  <a:latin typeface="+mn-lt"/>
                  <a:ea typeface="+mn-ea"/>
                  <a:cs typeface="+mn-cs"/>
                </a:rPr>
                <a:t>Retention cost</a:t>
              </a:r>
              <a:r>
                <a:rPr lang="en-US" sz="1100" b="0" i="0" u="none" strike="noStrike">
                  <a:solidFill>
                    <a:schemeClr val="lt1"/>
                  </a:solidFill>
                  <a:effectLst/>
                  <a:latin typeface="+mn-lt"/>
                  <a:ea typeface="+mn-ea"/>
                  <a:cs typeface="+mn-cs"/>
                </a:rPr>
                <a:t>: Any incentives paid to user/subscriber to continue coming back</a:t>
              </a:r>
              <a:r>
                <a:rPr lang="en-US">
                  <a:effectLst/>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a:effectLst/>
                </a:rPr>
                <a:t>- How much money does it take to retain users?</a:t>
              </a:r>
            </a:p>
            <a:p>
              <a:pPr algn="l"/>
              <a:endParaRPr lang="en-US" sz="1100"/>
            </a:p>
            <a:p>
              <a:pPr algn="l"/>
              <a:endParaRPr lang="en-US" sz="1100"/>
            </a:p>
            <a:p>
              <a:pPr algn="l"/>
              <a:endParaRPr lang="en-US" sz="1100"/>
            </a:p>
          </xdr:txBody>
        </xdr:sp>
      </mc:Fallback>
    </mc:AlternateContent>
    <xdr:clientData/>
  </xdr:twoCellAnchor>
  <xdr:twoCellAnchor>
    <xdr:from>
      <xdr:col>22</xdr:col>
      <xdr:colOff>469900</xdr:colOff>
      <xdr:row>12</xdr:row>
      <xdr:rowOff>203200</xdr:rowOff>
    </xdr:from>
    <xdr:to>
      <xdr:col>29</xdr:col>
      <xdr:colOff>508000</xdr:colOff>
      <xdr:row>21</xdr:row>
      <xdr:rowOff>50800</xdr:rowOff>
    </xdr:to>
    <xdr:sp macro="" textlink="">
      <xdr:nvSpPr>
        <xdr:cNvPr id="3" name="Rectangle 2">
          <a:extLst>
            <a:ext uri="{FF2B5EF4-FFF2-40B4-BE49-F238E27FC236}">
              <a16:creationId xmlns:a16="http://schemas.microsoft.com/office/drawing/2014/main" id="{D346625F-D028-E33E-5247-10E0A9FE8F57}"/>
            </a:ext>
          </a:extLst>
        </xdr:cNvPr>
        <xdr:cNvSpPr/>
      </xdr:nvSpPr>
      <xdr:spPr>
        <a:xfrm>
          <a:off x="17716500" y="2692400"/>
          <a:ext cx="4749800" cy="2298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rtl="0">
            <a:defRPr sz="1000"/>
          </a:pPr>
          <a:r>
            <a:rPr lang="en-US" sz="1100" b="1" i="0" u="sng" strike="noStrike" baseline="0">
              <a:solidFill>
                <a:srgbClr val="000000"/>
              </a:solidFill>
              <a:latin typeface="Arial" charset="0"/>
              <a:cs typeface="Arial" charset="0"/>
            </a:rPr>
            <a:t>⭐ What does SUMXMY2(arrayX, arrayY) function do in Excel?</a:t>
          </a:r>
        </a:p>
        <a:p>
          <a:pPr algn="l" rtl="0">
            <a:defRPr sz="1000"/>
          </a:pPr>
          <a:endParaRPr lang="en-US" sz="1100" b="1" i="0" u="none" strike="noStrike" baseline="0">
            <a:solidFill>
              <a:srgbClr val="000000"/>
            </a:solidFill>
            <a:latin typeface="Arial" charset="0"/>
            <a:cs typeface="Arial" charset="0"/>
          </a:endParaRPr>
        </a:p>
        <a:p>
          <a:pPr algn="l" rtl="0">
            <a:defRPr sz="1000"/>
          </a:pPr>
          <a:r>
            <a:rPr lang="en-US" sz="1100" b="1" i="0" u="none" strike="noStrike" baseline="0">
              <a:solidFill>
                <a:srgbClr val="000000"/>
              </a:solidFill>
              <a:latin typeface="Arial" charset="0"/>
              <a:cs typeface="Arial" charset="0"/>
            </a:rPr>
            <a:t>SUMXMY2 = SUM of (X–Y)²</a:t>
          </a:r>
        </a:p>
        <a:p>
          <a:pPr algn="l" rtl="0">
            <a:defRPr sz="1000"/>
          </a:pPr>
          <a:endParaRPr lang="en-US" sz="1100" b="1" i="0" u="none" strike="noStrike" baseline="0">
            <a:solidFill>
              <a:srgbClr val="000000"/>
            </a:solidFill>
            <a:latin typeface="Arial" charset="0"/>
            <a:cs typeface="Arial" charset="0"/>
          </a:endParaRPr>
        </a:p>
        <a:p>
          <a:pPr algn="l" rtl="0">
            <a:defRPr sz="1000"/>
          </a:pPr>
          <a:r>
            <a:rPr lang="en-US" sz="1100" b="1" i="0" u="none" strike="noStrike" baseline="0">
              <a:solidFill>
                <a:srgbClr val="000000"/>
              </a:solidFill>
              <a:latin typeface="Arial" charset="0"/>
              <a:cs typeface="Arial" charset="0"/>
            </a:rPr>
            <a:t>It:</a:t>
          </a:r>
        </a:p>
        <a:p>
          <a:pPr algn="l" rtl="0">
            <a:defRPr sz="1000"/>
          </a:pPr>
          <a:endParaRPr lang="en-US" sz="1100" b="1" i="0" u="none" strike="noStrike" baseline="0">
            <a:solidFill>
              <a:srgbClr val="000000"/>
            </a:solidFill>
            <a:latin typeface="Arial" charset="0"/>
            <a:cs typeface="Arial" charset="0"/>
          </a:endParaRPr>
        </a:p>
        <a:p>
          <a:pPr algn="l" rtl="0">
            <a:defRPr sz="1000"/>
          </a:pPr>
          <a:r>
            <a:rPr lang="en-US" sz="1100" b="1" i="0" u="none" strike="noStrike" baseline="0">
              <a:solidFill>
                <a:srgbClr val="000000"/>
              </a:solidFill>
              <a:latin typeface="Arial" charset="0"/>
              <a:cs typeface="Arial" charset="0"/>
            </a:rPr>
            <a:t>Takes two ranges (X and Y),</a:t>
          </a:r>
        </a:p>
        <a:p>
          <a:pPr algn="l" rtl="0">
            <a:defRPr sz="1000"/>
          </a:pPr>
          <a:endParaRPr lang="en-US" sz="1100" b="1" i="0" u="none" strike="noStrike" baseline="0">
            <a:solidFill>
              <a:srgbClr val="000000"/>
            </a:solidFill>
            <a:latin typeface="Arial" charset="0"/>
            <a:cs typeface="Arial" charset="0"/>
          </a:endParaRPr>
        </a:p>
        <a:p>
          <a:pPr algn="l" rtl="0">
            <a:defRPr sz="1000"/>
          </a:pPr>
          <a:r>
            <a:rPr lang="en-US" sz="1100" b="1" i="0" u="none" strike="noStrike" baseline="0">
              <a:solidFill>
                <a:srgbClr val="000000"/>
              </a:solidFill>
              <a:latin typeface="Arial" charset="0"/>
              <a:cs typeface="Arial" charset="0"/>
            </a:rPr>
            <a:t>For each pair of cells, calculates the difference (X – Y),</a:t>
          </a:r>
        </a:p>
        <a:p>
          <a:pPr algn="l" rtl="0">
            <a:defRPr sz="1000"/>
          </a:pPr>
          <a:endParaRPr lang="en-US" sz="1100" b="1" i="0" u="none" strike="noStrike" baseline="0">
            <a:solidFill>
              <a:srgbClr val="000000"/>
            </a:solidFill>
            <a:latin typeface="Arial" charset="0"/>
            <a:cs typeface="Arial" charset="0"/>
          </a:endParaRPr>
        </a:p>
        <a:p>
          <a:pPr algn="l" rtl="0">
            <a:defRPr sz="1000"/>
          </a:pPr>
          <a:r>
            <a:rPr lang="en-US" sz="1100" b="1" i="0" u="none" strike="noStrike" baseline="0">
              <a:solidFill>
                <a:srgbClr val="000000"/>
              </a:solidFill>
              <a:latin typeface="Arial" charset="0"/>
              <a:cs typeface="Arial" charset="0"/>
            </a:rPr>
            <a:t>Squares each difference,</a:t>
          </a:r>
        </a:p>
        <a:p>
          <a:pPr algn="l" rtl="0">
            <a:defRPr sz="1000"/>
          </a:pPr>
          <a:endParaRPr lang="en-US" sz="1100" b="1" i="0" u="none" strike="noStrike" baseline="0">
            <a:solidFill>
              <a:srgbClr val="000000"/>
            </a:solidFill>
            <a:latin typeface="Arial" charset="0"/>
            <a:cs typeface="Arial" charset="0"/>
          </a:endParaRPr>
        </a:p>
        <a:p>
          <a:pPr algn="l" rtl="0">
            <a:defRPr sz="1000"/>
          </a:pPr>
          <a:r>
            <a:rPr lang="en-US" sz="1100" b="1" i="0" u="none" strike="noStrike" baseline="0">
              <a:solidFill>
                <a:srgbClr val="000000"/>
              </a:solidFill>
              <a:latin typeface="Arial" charset="0"/>
              <a:cs typeface="Arial" charset="0"/>
            </a:rPr>
            <a:t>Adds them all up.</a:t>
          </a:r>
        </a:p>
        <a:p>
          <a:pPr algn="l"/>
          <a:endParaRPr lang="en-US" sz="1100" b="1"/>
        </a:p>
      </xdr:txBody>
    </xdr:sp>
    <xdr:clientData/>
  </xdr:twoCellAnchor>
  <xdr:twoCellAnchor editAs="oneCell">
    <xdr:from>
      <xdr:col>1</xdr:col>
      <xdr:colOff>12700</xdr:colOff>
      <xdr:row>108</xdr:row>
      <xdr:rowOff>101600</xdr:rowOff>
    </xdr:from>
    <xdr:to>
      <xdr:col>8</xdr:col>
      <xdr:colOff>520700</xdr:colOff>
      <xdr:row>126</xdr:row>
      <xdr:rowOff>38100</xdr:rowOff>
    </xdr:to>
    <xdr:pic>
      <xdr:nvPicPr>
        <xdr:cNvPr id="4" name="Picture 3">
          <a:extLst>
            <a:ext uri="{FF2B5EF4-FFF2-40B4-BE49-F238E27FC236}">
              <a16:creationId xmlns:a16="http://schemas.microsoft.com/office/drawing/2014/main" id="{D0A7BFA9-72D7-A9CA-F342-3389621236E1}"/>
            </a:ext>
          </a:extLst>
        </xdr:cNvPr>
        <xdr:cNvPicPr>
          <a:picLocks noChangeAspect="1"/>
        </xdr:cNvPicPr>
      </xdr:nvPicPr>
      <xdr:blipFill>
        <a:blip xmlns:r="http://schemas.openxmlformats.org/officeDocument/2006/relationships" r:embed="rId7"/>
        <a:stretch>
          <a:fillRect/>
        </a:stretch>
      </xdr:blipFill>
      <xdr:spPr>
        <a:xfrm>
          <a:off x="685800" y="19431000"/>
          <a:ext cx="7569200" cy="2908300"/>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0-03-23T00:19:13.375"/>
    </inkml:context>
    <inkml:brush xml:id="br0">
      <inkml:brushProperty name="width" value="0.05" units="cm"/>
      <inkml:brushProperty name="height" value="0.05" units="cm"/>
    </inkml:brush>
  </inkml:definitions>
  <inkml:trace contextRef="#ctx0" brushRef="#br0">1 11 24,'0'0'268,"0"0"-92,0 0-49,0 0 53,0 0-4,0 0 40,0 0-13,0 0 1,0 0-103,0 0-54,0 0-35,6 0-91,13-2 75,-11-5 16,-8 7-12,1-2 28,-1 2-17,1 1-126,1-1 0,-1 0 0,0 1 0,1-1 0,-1 0 0,0 0 0,0 0 0,1 0 0,-1 0 0,0 0 0,2-1 115,4 0-422,-2 1 407</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0-03-23T00:20:55.486"/>
    </inkml:context>
    <inkml:brush xml:id="br0">
      <inkml:brushProperty name="width" value="0.05" units="cm"/>
      <inkml:brushProperty name="height" value="0.05" units="cm"/>
    </inkml:brush>
  </inkml:definitions>
  <inkml:trace contextRef="#ctx0" brushRef="#br0">18 9 96,'0'0'365,"0"0"-59,0 0-71,0 0 31,0 0 33,0 0-83,0 0-15,0 0-26,0 0 91,0 0-41,0 0-61,0 0-84,0 0-27,0 0-1,0 0-24,0 0 43,0 0 40,0 0-22,0 0 12,0 0 67,0 0 34,0 0-39,0 0-74,0 0-53,0 0 21,0 0 33,0 0 58,0 0-30,0 0 52,0 0-62,0 0-70,0 0-10,0 0-14,0 0-13,0 0 31,0 0-31,0 0 11,0 0 8,0 0 6,0 0 48,0 0-3,0 0 10,0 0-17,0 0 103,0 0-7,0 0 58,0 0-53,0 0 22,0 0-49,0 0-36,0 0-41,0 0-46,0 0-11,0 0 17,0 0-41,0 0 51,0 0-5,0 0 25,0 0 65,0 0 32,0 0 0,0 0-81,0 0 60,0 0-55,0 0 61,0 0-42,0 0 42,0 0-34,0 0-5,0 0-2,0 0 43,0 0 2,0 0 90,0 0-28,0 0 73,0 0-80,0 0 27,0 0-14,0 0-30,0 0-7,0 0-70,0 0 45,0 0-95,0 0 4,0 0 14,0 0-50,0 0-47,0 0 11,0 0-11,0 0 16,0 0 11,0 0-32,0 0 52,0 0-42,0 0 23,0 0-4,0 0-31,0 0 62,0 0-59,0 0 80,0 0-41,0 0-10,0 0 8,0 0 6,0 0 27,0 0-63,0 0 35,0 0-51,0 0 34,0 0 8,0 0 0,0 0-3,0 0 61,0 0-29,0 0 5,0 0 76,0 0-24,0-8-1058,0 12 485,0-2 222,0 0 0,0 0 0,0-1 0,0 1 0,0 0 0,0 0-1,-1 0 1,1 0 0,-1 0 0,1 0 0,-1 0 267,-14 6-4824</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0-03-23T00:21:49.274"/>
    </inkml:context>
    <inkml:brush xml:id="br0">
      <inkml:brushProperty name="width" value="0.05" units="cm"/>
      <inkml:brushProperty name="height" value="0.05" units="cm"/>
    </inkml:brush>
  </inkml:definitions>
  <inkml:trace contextRef="#ctx0" brushRef="#br0">24 25 1032,'0'0'728,"0"0"-63,0 0-69,0 0-184,0 0 33,0 0 3,0 0 66,0 0-14,0 0-13,0 0-78,0 0-97,0 0-36,0 0-72,0 0 60,0 0-2,0-16 3696,-1 7-9934,0 10 5923,0-1 1,0 1-1,0-1 1,0 1-1,0 0 0,0-1 1,0 1-1,0 0 1,0-1-1,1 1 1,-1 0-1,0 0 1,1 0-1,-1 0 0,1 0 1,-1 0-1,1 0 1,-1 0-1,1 0 1,-1 0-1,1 0 0,0 0 1,0 0-1,-1 0 1,1 0-1,0 0 1,0 0-1,0 0 1,0 1 52,0-1 20,0-1 110,0 0 248,0 0 199,0 0 83,0 0 31,0 0 32,0 0-147,0 0-75,0 0-191,0 0-25,0 0-127,0 0-72,0 0-63,0 0-26,0 0-25,0 0 43,0 0-34,0 0 31,0 0-14,0 0-21,0 0-12,0 0 63,0 0-25,0 0 21,0 0-31,0 0 11,0 0 10,0 0 18,0 0 89,0 0 66,0 0 131,0 0-86,0 0 39,0 0-35,0 0 111,0 0 2,0 0 19,0 0 35,0 0-60,0 0-63,0 0-113,0 0 41,0 0-67,0 0 129,0 0-74,0 0 2,0 0-23,0 0-40,0 0-25,0 0-58,0 0-46,0 0 40,0 0-80,0 0 82,0 0-48,0 0-14,0 0 10,0 0 43,0 0-54,0 0 49,0 0-80,0 0 29,0 0 29,0 0 12,0 0 17,0 0-31,0 0 55,0 0-1,0 0-33,0 0-53,0 0 12,0 0 20,0 0 20,0 0 12,0 0 84,0 0-64,0 0 48,0 0-58,0 0 48,0 0 13,0 0 11,0 0 20,0 0-93,0 0 4,0 0 6,0 0-53,0 0 57,0 0-78,0 0-10,0 0 2,0 0 66,0 0-67,0 0 70,0 0-76,0 0 29,0 0 15,0 0-59,0 0 87,0 0-58,0 0 74,0 0-68,0 0 8,0 0 34,0 0-52,0 0 63,0 0-65,0 0 52,0 0-8,0 0 17,0 0-3,0 0-25,0 0 32,0 0-77,0 0 72,0 0-65,0 0-8,0 0 57,0 0-55,0 0 67,0 0-72,0 0 29,0 0 15,0 0-10,0 0-17,0 0 66,0 0-70,0 0 55,0 0-49,0 0 6,0 0-5,0 0 51,0 0-65,0 0 78,0 0-84,0 0 54,0 0 4,0 0 8,0 0-40,0 0 58,0 0-78,0 0 79,0 0-84,0 0 15,0 0 10,0 0-16,0 0-4,0 0 22,0 0-63,0 0 72,0 0-57,0 0-2,0 0-41,0 0-24,0 0 25,0 11-46,0 119 594,0 135 861,0-265-1313,0-1 0,0 1 0,-1 0 1,1 0-1,0 0 0,-1 0 0,1 0 0,0 0 0,0-1 0,-1 1 0,1 0 0,0 0 0,0 0 0,0 0 0,-1-1 0,1 1 0,0 0 0,0 0 0,0-1 1,-1 1-1,1 0 0,0 0 0,0-1 0,0 1 0,0 0 0,0-1 0,0 1 0,0 0 0,0 0 0,0-1 0,0 1 0,0 0 0,0-1 2,0-30-5410,0 21 1268</inkml:trace>
</inkm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Z51"/>
  <sheetViews>
    <sheetView tabSelected="1" topLeftCell="W130" workbookViewId="0">
      <selection activeCell="B3" sqref="B3:AD128"/>
    </sheetView>
  </sheetViews>
  <sheetFormatPr baseColWidth="10" defaultColWidth="8.83203125" defaultRowHeight="13" x14ac:dyDescent="0.15"/>
  <cols>
    <col min="3" max="3" width="25" customWidth="1"/>
    <col min="4" max="4" width="19.1640625" customWidth="1"/>
    <col min="5" max="5" width="9.5" bestFit="1" customWidth="1"/>
    <col min="6" max="6" width="11.1640625" customWidth="1"/>
    <col min="7" max="9" width="9.5" bestFit="1" customWidth="1"/>
    <col min="10" max="10" width="9.33203125" bestFit="1" customWidth="1"/>
  </cols>
  <sheetData>
    <row r="1" spans="2:23" x14ac:dyDescent="0.15">
      <c r="I1" s="6"/>
      <c r="J1" s="4"/>
      <c r="K1" s="4"/>
      <c r="L1" s="4"/>
      <c r="M1" s="4"/>
      <c r="N1" s="4"/>
    </row>
    <row r="2" spans="2:23" x14ac:dyDescent="0.15">
      <c r="E2" s="1"/>
      <c r="F2" s="2"/>
    </row>
    <row r="3" spans="2:23" x14ac:dyDescent="0.15">
      <c r="B3" s="1" t="s">
        <v>29</v>
      </c>
    </row>
    <row r="5" spans="2:23" ht="14" thickBot="1" x14ac:dyDescent="0.2">
      <c r="B5" s="1" t="s">
        <v>30</v>
      </c>
    </row>
    <row r="6" spans="2:23" ht="14" thickTop="1" x14ac:dyDescent="0.15">
      <c r="B6" s="7"/>
      <c r="C6" s="48" t="s">
        <v>1</v>
      </c>
      <c r="D6" s="8"/>
      <c r="E6" s="8"/>
      <c r="F6" s="8"/>
      <c r="G6" s="8"/>
      <c r="H6" s="8"/>
      <c r="I6" s="8"/>
      <c r="J6" s="8"/>
      <c r="K6" s="8"/>
      <c r="L6" s="9"/>
    </row>
    <row r="7" spans="2:23" ht="16" x14ac:dyDescent="0.2">
      <c r="B7" s="10"/>
      <c r="C7" s="11" t="s">
        <v>1</v>
      </c>
      <c r="D7" s="11"/>
      <c r="E7" s="11"/>
      <c r="F7" s="11"/>
      <c r="G7" s="11"/>
      <c r="H7" s="11"/>
      <c r="I7" s="12" t="s">
        <v>1</v>
      </c>
      <c r="J7" s="13" t="s">
        <v>1</v>
      </c>
      <c r="K7" s="11"/>
      <c r="L7" s="14"/>
      <c r="O7" s="1" t="s">
        <v>20</v>
      </c>
      <c r="S7" s="3" t="s">
        <v>36</v>
      </c>
    </row>
    <row r="8" spans="2:23" ht="20" customHeight="1" x14ac:dyDescent="0.2">
      <c r="B8" s="10"/>
      <c r="C8" s="49" t="s">
        <v>5</v>
      </c>
      <c r="D8" s="15">
        <v>0.7</v>
      </c>
      <c r="E8" s="16"/>
      <c r="F8" s="16"/>
      <c r="G8" s="16"/>
      <c r="H8" s="16"/>
      <c r="I8" s="16"/>
      <c r="J8" s="16"/>
      <c r="K8" s="16"/>
      <c r="L8" s="14"/>
    </row>
    <row r="9" spans="2:23" ht="20" customHeight="1" x14ac:dyDescent="0.15">
      <c r="B9" s="10"/>
      <c r="C9" t="s">
        <v>15</v>
      </c>
      <c r="D9" s="51">
        <v>0.05</v>
      </c>
      <c r="E9" s="16"/>
      <c r="F9" s="16"/>
      <c r="G9" s="16"/>
      <c r="H9" s="16"/>
      <c r="I9" s="16"/>
      <c r="J9" s="16"/>
      <c r="K9" s="16"/>
      <c r="L9" s="14"/>
      <c r="O9" s="1" t="s">
        <v>0</v>
      </c>
      <c r="P9" s="1" t="s">
        <v>16</v>
      </c>
      <c r="Q9" s="1"/>
      <c r="S9" s="1" t="s">
        <v>18</v>
      </c>
      <c r="T9" s="1"/>
      <c r="U9" s="1" t="s">
        <v>17</v>
      </c>
      <c r="V9" s="1"/>
      <c r="W9" s="1"/>
    </row>
    <row r="10" spans="2:23" ht="20" customHeight="1" x14ac:dyDescent="0.15">
      <c r="B10" s="10"/>
      <c r="C10" s="17" t="s">
        <v>2</v>
      </c>
      <c r="D10" s="18">
        <v>0</v>
      </c>
      <c r="E10" s="18">
        <v>1</v>
      </c>
      <c r="F10" s="18">
        <v>2</v>
      </c>
      <c r="G10" s="18">
        <v>3</v>
      </c>
      <c r="H10" s="18">
        <v>4</v>
      </c>
      <c r="I10" s="18">
        <v>5</v>
      </c>
      <c r="J10" s="18">
        <v>6</v>
      </c>
      <c r="K10" s="18">
        <v>7</v>
      </c>
      <c r="L10" s="14"/>
      <c r="O10">
        <v>0</v>
      </c>
      <c r="P10" s="5">
        <v>10000</v>
      </c>
      <c r="S10" s="52">
        <v>0.78978014680100317</v>
      </c>
      <c r="U10" s="4">
        <v>10000</v>
      </c>
    </row>
    <row r="11" spans="2:23" ht="20" customHeight="1" x14ac:dyDescent="0.15">
      <c r="B11" s="10"/>
      <c r="C11" s="19" t="s">
        <v>4</v>
      </c>
      <c r="D11" s="20">
        <v>0</v>
      </c>
      <c r="E11" s="20">
        <v>500</v>
      </c>
      <c r="F11" s="20">
        <v>600</v>
      </c>
      <c r="G11" s="20">
        <v>700</v>
      </c>
      <c r="H11" s="20">
        <v>800</v>
      </c>
      <c r="I11" s="36">
        <v>900</v>
      </c>
      <c r="J11" s="25">
        <v>1000</v>
      </c>
      <c r="K11" s="25">
        <v>1100</v>
      </c>
      <c r="L11" s="14"/>
      <c r="O11">
        <v>1</v>
      </c>
      <c r="P11" s="5">
        <v>6425.9634786117849</v>
      </c>
      <c r="U11" s="4">
        <f>U10*$S$10</f>
        <v>7897.8014680100314</v>
      </c>
    </row>
    <row r="12" spans="2:23" ht="20" customHeight="1" x14ac:dyDescent="0.15">
      <c r="B12" s="10"/>
      <c r="C12" s="19" t="s">
        <v>12</v>
      </c>
      <c r="D12" s="21">
        <v>0</v>
      </c>
      <c r="E12" s="22">
        <f>200+M6*10</f>
        <v>200</v>
      </c>
      <c r="F12" s="22">
        <f>200+M6*10+N6</f>
        <v>200</v>
      </c>
      <c r="G12" s="22">
        <f>200+N6*10+O10</f>
        <v>200</v>
      </c>
      <c r="H12" s="22">
        <f>200+M6*10+O10</f>
        <v>200</v>
      </c>
      <c r="I12" s="37">
        <v>200</v>
      </c>
      <c r="J12" s="25">
        <v>200</v>
      </c>
      <c r="K12" s="25">
        <v>200</v>
      </c>
      <c r="L12" s="14"/>
      <c r="O12">
        <v>2</v>
      </c>
      <c r="P12" s="5">
        <v>5022.7754237288136</v>
      </c>
      <c r="U12" s="4">
        <f t="shared" ref="U12:U22" si="0">U11*$S$10</f>
        <v>6237.5268028101409</v>
      </c>
    </row>
    <row r="13" spans="2:23" ht="20" customHeight="1" x14ac:dyDescent="0.15">
      <c r="B13" s="10"/>
      <c r="C13" s="19" t="s">
        <v>13</v>
      </c>
      <c r="D13" s="21"/>
      <c r="E13" s="46">
        <f>E11-E12</f>
        <v>300</v>
      </c>
      <c r="F13" s="46">
        <f t="shared" ref="F13:K13" si="1">F11-F12</f>
        <v>400</v>
      </c>
      <c r="G13" s="46">
        <f t="shared" si="1"/>
        <v>500</v>
      </c>
      <c r="H13" s="46">
        <f t="shared" si="1"/>
        <v>600</v>
      </c>
      <c r="I13" s="46">
        <f t="shared" si="1"/>
        <v>700</v>
      </c>
      <c r="J13" s="46">
        <f t="shared" si="1"/>
        <v>800</v>
      </c>
      <c r="K13" s="46">
        <f t="shared" si="1"/>
        <v>900</v>
      </c>
      <c r="L13" s="14"/>
      <c r="O13">
        <v>3</v>
      </c>
      <c r="P13" s="5">
        <v>4145.7828894269569</v>
      </c>
      <c r="U13" s="4">
        <f t="shared" si="0"/>
        <v>4926.2748339985847</v>
      </c>
    </row>
    <row r="14" spans="2:23" ht="20" customHeight="1" x14ac:dyDescent="0.15">
      <c r="B14" s="10"/>
      <c r="C14" s="23" t="s">
        <v>3</v>
      </c>
      <c r="D14" s="24"/>
      <c r="E14" s="44">
        <f>E13/E11</f>
        <v>0.6</v>
      </c>
      <c r="F14" s="44">
        <f t="shared" ref="F14:K14" si="2">F13/F11</f>
        <v>0.66666666666666663</v>
      </c>
      <c r="G14" s="44">
        <f t="shared" si="2"/>
        <v>0.7142857142857143</v>
      </c>
      <c r="H14" s="44">
        <f t="shared" si="2"/>
        <v>0.75</v>
      </c>
      <c r="I14" s="44">
        <f t="shared" si="2"/>
        <v>0.77777777777777779</v>
      </c>
      <c r="J14" s="44">
        <f t="shared" si="2"/>
        <v>0.8</v>
      </c>
      <c r="K14" s="44">
        <f t="shared" si="2"/>
        <v>0.81818181818181823</v>
      </c>
      <c r="L14" s="14"/>
      <c r="O14">
        <v>4</v>
      </c>
      <c r="P14" s="5">
        <v>3555.8060936238899</v>
      </c>
      <c r="U14" s="4">
        <f t="shared" si="0"/>
        <v>3890.6740615774897</v>
      </c>
    </row>
    <row r="15" spans="2:23" ht="20" customHeight="1" x14ac:dyDescent="0.15">
      <c r="B15" s="10"/>
      <c r="C15" s="23" t="s">
        <v>7</v>
      </c>
      <c r="D15" s="42">
        <v>-350</v>
      </c>
      <c r="E15" s="40"/>
      <c r="F15" s="40"/>
      <c r="G15" s="40"/>
      <c r="H15" s="47"/>
      <c r="I15" s="40"/>
      <c r="J15" s="40"/>
      <c r="K15" s="40"/>
      <c r="L15" s="14"/>
      <c r="O15">
        <v>5</v>
      </c>
      <c r="P15" s="5">
        <v>3109.3371670702177</v>
      </c>
      <c r="U15" s="4">
        <f t="shared" si="0"/>
        <v>3072.7771315075252</v>
      </c>
    </row>
    <row r="16" spans="2:23" ht="20" customHeight="1" x14ac:dyDescent="0.15">
      <c r="B16" s="10"/>
      <c r="C16" s="23" t="s">
        <v>8</v>
      </c>
      <c r="D16" s="24"/>
      <c r="E16" s="39">
        <v>80</v>
      </c>
      <c r="F16" s="39">
        <v>80</v>
      </c>
      <c r="G16" s="39">
        <v>100</v>
      </c>
      <c r="H16" s="39">
        <v>100</v>
      </c>
      <c r="I16" s="39">
        <v>120</v>
      </c>
      <c r="J16" s="47">
        <v>120</v>
      </c>
      <c r="K16" s="47">
        <v>120</v>
      </c>
      <c r="L16" s="14"/>
      <c r="O16">
        <v>6</v>
      </c>
      <c r="P16" s="5">
        <v>2822.321428571428</v>
      </c>
      <c r="U16" s="4">
        <f t="shared" si="0"/>
        <v>2426.8183740087788</v>
      </c>
    </row>
    <row r="17" spans="2:26" ht="20" customHeight="1" x14ac:dyDescent="0.15">
      <c r="B17" s="10"/>
      <c r="C17" s="43" t="s">
        <v>14</v>
      </c>
      <c r="D17" s="41">
        <f>SUM(D15:D16)</f>
        <v>-350</v>
      </c>
      <c r="E17" s="41">
        <f>E11-E12-E16</f>
        <v>220</v>
      </c>
      <c r="F17" s="41">
        <f t="shared" ref="F17:K17" si="3">F11-F12-F16</f>
        <v>320</v>
      </c>
      <c r="G17" s="41">
        <f t="shared" si="3"/>
        <v>400</v>
      </c>
      <c r="H17" s="41">
        <f t="shared" si="3"/>
        <v>500</v>
      </c>
      <c r="I17" s="41">
        <f t="shared" si="3"/>
        <v>580</v>
      </c>
      <c r="J17" s="41">
        <f t="shared" si="3"/>
        <v>680</v>
      </c>
      <c r="K17" s="41">
        <f t="shared" si="3"/>
        <v>780</v>
      </c>
      <c r="L17" s="14"/>
      <c r="O17">
        <v>7</v>
      </c>
      <c r="P17" s="5">
        <v>2535.3056900726388</v>
      </c>
      <c r="U17" s="4">
        <f t="shared" si="0"/>
        <v>1916.6529716840253</v>
      </c>
    </row>
    <row r="18" spans="2:26" ht="33" customHeight="1" x14ac:dyDescent="0.15">
      <c r="B18" s="10"/>
      <c r="C18" s="64" t="s">
        <v>31</v>
      </c>
      <c r="D18" s="27">
        <f t="shared" ref="D18:H18" si="4">D17/(1+$D$9)^D10</f>
        <v>-350</v>
      </c>
      <c r="E18" s="27">
        <f t="shared" si="4"/>
        <v>209.52380952380952</v>
      </c>
      <c r="F18" s="27">
        <f t="shared" si="4"/>
        <v>290.24943310657596</v>
      </c>
      <c r="G18" s="27">
        <f t="shared" si="4"/>
        <v>345.53503941259038</v>
      </c>
      <c r="H18" s="27">
        <f t="shared" si="4"/>
        <v>411.35123739594098</v>
      </c>
      <c r="I18" s="27">
        <f>I17/(1+$D$9)^I10</f>
        <v>454.4451765517062</v>
      </c>
      <c r="J18" s="27">
        <f>J17/(1+$D$9)^J10</f>
        <v>507.42646971290679</v>
      </c>
      <c r="K18" s="27">
        <f>K17/(1+$D$9)^K10</f>
        <v>554.33143750149475</v>
      </c>
      <c r="L18" s="14"/>
      <c r="O18">
        <v>8</v>
      </c>
      <c r="P18" s="5">
        <v>2312.0712267958029</v>
      </c>
      <c r="U18" s="4">
        <f t="shared" si="0"/>
        <v>1513.7344653431885</v>
      </c>
    </row>
    <row r="19" spans="2:26" ht="20" customHeight="1" x14ac:dyDescent="0.15">
      <c r="B19" s="10"/>
      <c r="C19" s="23"/>
      <c r="D19" s="26"/>
      <c r="E19" s="26"/>
      <c r="F19" s="26"/>
      <c r="G19" s="26"/>
      <c r="H19" s="26"/>
      <c r="I19" s="26"/>
      <c r="J19" s="26"/>
      <c r="K19" s="26"/>
      <c r="L19" s="14"/>
      <c r="O19">
        <v>9</v>
      </c>
      <c r="P19" s="5">
        <v>2104.7820823244551</v>
      </c>
      <c r="U19" s="4">
        <f t="shared" si="0"/>
        <v>1195.5174282564815</v>
      </c>
    </row>
    <row r="20" spans="2:26" ht="20" customHeight="1" x14ac:dyDescent="0.15">
      <c r="B20" s="10"/>
      <c r="C20" s="23" t="s">
        <v>6</v>
      </c>
      <c r="D20" s="45">
        <f>1/(1-D8)</f>
        <v>3.333333333333333</v>
      </c>
      <c r="E20" s="27"/>
      <c r="F20" s="27"/>
      <c r="G20" s="27"/>
      <c r="H20" s="27"/>
      <c r="I20" s="27"/>
      <c r="J20" s="27"/>
      <c r="K20" s="27"/>
      <c r="L20" s="14"/>
      <c r="O20">
        <v>10</v>
      </c>
      <c r="P20" s="5">
        <v>1945.3288942695722</v>
      </c>
      <c r="U20" s="4">
        <f t="shared" si="0"/>
        <v>944.19592999156168</v>
      </c>
    </row>
    <row r="21" spans="2:26" ht="20" customHeight="1" x14ac:dyDescent="0.15">
      <c r="B21" s="10"/>
      <c r="C21" s="50" t="s">
        <v>34</v>
      </c>
      <c r="D21" s="20">
        <f>SUM(D18:G18)+(H18*0.33)</f>
        <v>631.05419038363641</v>
      </c>
      <c r="E21" s="16"/>
      <c r="F21" s="16"/>
      <c r="G21" s="16"/>
      <c r="H21" s="16"/>
      <c r="I21" s="16"/>
      <c r="J21" s="16"/>
      <c r="K21" s="16"/>
      <c r="L21" s="14"/>
      <c r="O21">
        <v>11</v>
      </c>
      <c r="P21" s="5">
        <v>1945.3288942695722</v>
      </c>
      <c r="U21" s="4">
        <f t="shared" si="0"/>
        <v>745.70720019764531</v>
      </c>
    </row>
    <row r="22" spans="2:26" x14ac:dyDescent="0.15">
      <c r="B22" s="10"/>
      <c r="D22" s="3" t="s">
        <v>35</v>
      </c>
      <c r="L22" s="14"/>
      <c r="O22">
        <v>12</v>
      </c>
      <c r="P22" s="5">
        <v>1785.8757062146892</v>
      </c>
      <c r="U22" s="4">
        <f t="shared" si="0"/>
        <v>588.94474204266135</v>
      </c>
    </row>
    <row r="23" spans="2:26" x14ac:dyDescent="0.15">
      <c r="B23" s="10"/>
      <c r="C23" s="3" t="s">
        <v>1</v>
      </c>
      <c r="G23" s="28" t="s">
        <v>1</v>
      </c>
      <c r="H23" s="38" t="s">
        <v>1</v>
      </c>
      <c r="I23" s="28" t="s">
        <v>1</v>
      </c>
      <c r="J23" s="29" t="s">
        <v>1</v>
      </c>
      <c r="K23" s="30" t="s">
        <v>1</v>
      </c>
      <c r="L23" s="14"/>
    </row>
    <row r="24" spans="2:26" x14ac:dyDescent="0.15">
      <c r="B24" s="10"/>
      <c r="C24" s="3" t="s">
        <v>1</v>
      </c>
      <c r="G24" s="31"/>
      <c r="H24" s="32"/>
      <c r="L24" s="14"/>
      <c r="T24" s="3" t="s">
        <v>19</v>
      </c>
      <c r="U24">
        <f>SUMXMY2(P10:P20,U10:U20)</f>
        <v>7370093.7078448618</v>
      </c>
      <c r="W24" s="3"/>
    </row>
    <row r="25" spans="2:26" ht="14" thickBot="1" x14ac:dyDescent="0.2">
      <c r="B25" s="33"/>
      <c r="C25" s="34"/>
      <c r="D25" s="34"/>
      <c r="E25" s="34"/>
      <c r="F25" s="34"/>
      <c r="G25" s="34"/>
      <c r="H25" s="34"/>
      <c r="I25" s="34"/>
      <c r="J25" s="34"/>
      <c r="K25" s="34"/>
      <c r="L25" s="35"/>
      <c r="P25" s="20"/>
    </row>
    <row r="26" spans="2:26" ht="14" thickTop="1" x14ac:dyDescent="0.15"/>
    <row r="27" spans="2:26" x14ac:dyDescent="0.15">
      <c r="B27" s="3" t="s">
        <v>10</v>
      </c>
      <c r="O27" s="53"/>
      <c r="P27" s="53"/>
      <c r="Q27" s="53"/>
      <c r="R27" s="53"/>
      <c r="S27" s="53"/>
      <c r="T27" s="53"/>
      <c r="U27" s="53"/>
      <c r="V27" s="53"/>
      <c r="W27" s="53"/>
      <c r="X27" s="53"/>
      <c r="Y27" s="54" t="s">
        <v>25</v>
      </c>
      <c r="Z27" s="53"/>
    </row>
    <row r="28" spans="2:26" x14ac:dyDescent="0.15">
      <c r="B28" s="3" t="s">
        <v>11</v>
      </c>
      <c r="O28" s="55" t="s">
        <v>27</v>
      </c>
      <c r="P28" s="53"/>
      <c r="Q28" s="53"/>
      <c r="R28" s="53"/>
      <c r="S28" s="53"/>
      <c r="Z28" s="53"/>
    </row>
    <row r="29" spans="2:26" x14ac:dyDescent="0.15">
      <c r="B29" s="3" t="s">
        <v>9</v>
      </c>
      <c r="O29" s="53"/>
      <c r="P29" s="53"/>
      <c r="Q29" s="53"/>
      <c r="R29" s="53"/>
      <c r="S29" s="53"/>
      <c r="T29" s="54" t="s">
        <v>21</v>
      </c>
      <c r="U29" s="53"/>
      <c r="V29" s="53"/>
      <c r="W29" s="57">
        <v>90.313047648281653</v>
      </c>
      <c r="X29" s="53"/>
      <c r="Y29" s="61">
        <v>52.274255016393077</v>
      </c>
      <c r="Z29" s="53"/>
    </row>
    <row r="30" spans="2:26" x14ac:dyDescent="0.15">
      <c r="B30" s="3" t="s">
        <v>33</v>
      </c>
      <c r="E30" s="3" t="s">
        <v>1</v>
      </c>
      <c r="O30" s="53"/>
      <c r="P30" s="53"/>
      <c r="Q30" s="53"/>
      <c r="R30" s="53"/>
      <c r="S30" s="53"/>
      <c r="T30" s="54" t="s">
        <v>22</v>
      </c>
      <c r="U30" s="53"/>
      <c r="V30" s="53"/>
      <c r="W30" s="57">
        <v>37.353737651922508</v>
      </c>
      <c r="X30" s="53"/>
      <c r="Y30" s="61">
        <v>47.725744983606923</v>
      </c>
      <c r="Z30" s="53"/>
    </row>
    <row r="31" spans="2:26" x14ac:dyDescent="0.15">
      <c r="B31" s="3" t="s">
        <v>32</v>
      </c>
      <c r="O31" s="53"/>
      <c r="P31" s="53"/>
      <c r="Q31" s="53"/>
      <c r="R31" s="53"/>
      <c r="S31" s="53"/>
      <c r="T31" s="54" t="s">
        <v>28</v>
      </c>
      <c r="U31" s="53"/>
      <c r="V31" s="53"/>
      <c r="W31" s="56">
        <v>52.274255016393077</v>
      </c>
      <c r="X31" s="53"/>
      <c r="Y31" s="53"/>
      <c r="Z31" s="53"/>
    </row>
    <row r="32" spans="2:26" x14ac:dyDescent="0.15">
      <c r="O32" s="53"/>
      <c r="P32" s="53"/>
      <c r="Q32" s="53"/>
      <c r="R32" s="53"/>
      <c r="S32" s="53"/>
      <c r="T32" s="53"/>
      <c r="U32" s="53"/>
      <c r="V32" s="53"/>
      <c r="W32" s="53"/>
      <c r="X32" s="53"/>
      <c r="Y32" s="53"/>
      <c r="Z32" s="53"/>
    </row>
    <row r="33" spans="15:26" x14ac:dyDescent="0.15">
      <c r="O33" s="53"/>
      <c r="P33" s="53"/>
      <c r="Q33" s="53"/>
      <c r="R33" s="53"/>
      <c r="S33" s="53"/>
      <c r="T33" s="53"/>
      <c r="U33" s="53"/>
      <c r="V33" s="53"/>
      <c r="W33" s="53"/>
      <c r="X33" s="53"/>
      <c r="Y33" s="53"/>
      <c r="Z33" s="53"/>
    </row>
    <row r="34" spans="15:26" x14ac:dyDescent="0.15">
      <c r="O34" s="55" t="s">
        <v>0</v>
      </c>
      <c r="P34" s="55" t="s">
        <v>16</v>
      </c>
      <c r="Q34" s="53"/>
      <c r="R34" s="53"/>
      <c r="S34" s="54" t="s">
        <v>23</v>
      </c>
      <c r="T34" s="53"/>
      <c r="U34" s="53"/>
      <c r="V34" s="54" t="s">
        <v>24</v>
      </c>
      <c r="W34" s="53"/>
      <c r="X34" s="53"/>
      <c r="Y34" s="54" t="s">
        <v>26</v>
      </c>
      <c r="Z34" s="53"/>
    </row>
    <row r="35" spans="15:26" x14ac:dyDescent="0.15">
      <c r="O35" s="62">
        <v>0</v>
      </c>
      <c r="P35" s="63">
        <v>10000</v>
      </c>
      <c r="Q35" s="53"/>
      <c r="R35" s="53"/>
      <c r="S35" s="58">
        <v>5227.4255016393072</v>
      </c>
      <c r="T35" s="53"/>
      <c r="U35" s="53"/>
      <c r="V35" s="53"/>
      <c r="W35" s="59">
        <v>4772.5744983606928</v>
      </c>
      <c r="X35" s="53"/>
      <c r="Y35" s="58">
        <v>10000</v>
      </c>
      <c r="Z35" s="53"/>
    </row>
    <row r="36" spans="15:26" x14ac:dyDescent="0.15">
      <c r="O36" s="62">
        <v>1</v>
      </c>
      <c r="P36" s="63">
        <v>6425.9634786117849</v>
      </c>
      <c r="Q36" s="53"/>
      <c r="R36" s="53"/>
      <c r="S36" s="58">
        <v>4721.047284073934</v>
      </c>
      <c r="T36" s="53"/>
      <c r="U36" s="53"/>
      <c r="V36" s="53"/>
      <c r="W36" s="59">
        <v>1782.7349573602098</v>
      </c>
      <c r="X36" s="53"/>
      <c r="Y36" s="58">
        <v>6503.7822414341435</v>
      </c>
      <c r="Z36" s="53"/>
    </row>
    <row r="37" spans="15:26" x14ac:dyDescent="0.15">
      <c r="O37" s="62">
        <v>2</v>
      </c>
      <c r="P37" s="63">
        <v>5022.7754237288136</v>
      </c>
      <c r="Q37" s="53"/>
      <c r="R37" s="53"/>
      <c r="S37" s="58">
        <v>4263.7216831635988</v>
      </c>
      <c r="T37" s="53"/>
      <c r="U37" s="53"/>
      <c r="V37" s="53"/>
      <c r="W37" s="59">
        <v>665.91813900144541</v>
      </c>
      <c r="X37" s="53"/>
      <c r="Y37" s="58">
        <v>4929.6398221650443</v>
      </c>
      <c r="Z37" s="53"/>
    </row>
    <row r="38" spans="15:26" x14ac:dyDescent="0.15">
      <c r="O38" s="62">
        <v>3</v>
      </c>
      <c r="P38" s="63">
        <v>4145.7828894269569</v>
      </c>
      <c r="Q38" s="53"/>
      <c r="R38" s="53"/>
      <c r="S38" s="58">
        <v>3850.6969953056573</v>
      </c>
      <c r="T38" s="53"/>
      <c r="U38" s="53"/>
      <c r="V38" s="53"/>
      <c r="W38" s="59">
        <v>248.74531461916459</v>
      </c>
      <c r="X38" s="53"/>
      <c r="Y38" s="58">
        <v>4099.4423099248215</v>
      </c>
      <c r="Z38" s="53"/>
    </row>
    <row r="39" spans="15:26" x14ac:dyDescent="0.15">
      <c r="O39" s="62">
        <v>4</v>
      </c>
      <c r="P39" s="63">
        <v>3555.8060936238899</v>
      </c>
      <c r="Q39" s="53"/>
      <c r="R39" s="53"/>
      <c r="S39" s="58">
        <v>3477.6818121613487</v>
      </c>
      <c r="T39" s="53"/>
      <c r="U39" s="53"/>
      <c r="V39" s="53"/>
      <c r="W39" s="59">
        <v>92.915672244291969</v>
      </c>
      <c r="X39" s="53"/>
      <c r="Y39" s="58">
        <v>3570.5974844056409</v>
      </c>
      <c r="Z39" s="53"/>
    </row>
    <row r="40" spans="15:26" x14ac:dyDescent="0.15">
      <c r="O40" s="62">
        <v>5</v>
      </c>
      <c r="P40" s="63">
        <v>3109.3371670702177</v>
      </c>
      <c r="Q40" s="53"/>
      <c r="R40" s="53"/>
      <c r="S40" s="58">
        <v>3140.8004320729033</v>
      </c>
      <c r="T40" s="53"/>
      <c r="U40" s="53"/>
      <c r="V40" s="53"/>
      <c r="W40" s="59">
        <v>34.707476447653001</v>
      </c>
      <c r="X40" s="53"/>
      <c r="Y40" s="58">
        <v>3175.5079085205562</v>
      </c>
      <c r="Z40" s="53"/>
    </row>
    <row r="41" spans="15:26" x14ac:dyDescent="0.15">
      <c r="O41" s="62">
        <v>6</v>
      </c>
      <c r="P41" s="63">
        <v>2822.321428571428</v>
      </c>
      <c r="Q41" s="53"/>
      <c r="R41" s="53"/>
      <c r="S41" s="58">
        <v>2836.5525907554379</v>
      </c>
      <c r="T41" s="53"/>
      <c r="U41" s="53"/>
      <c r="V41" s="53"/>
      <c r="W41" s="59">
        <v>12.964539697859095</v>
      </c>
      <c r="X41" s="53"/>
      <c r="Y41" s="58">
        <v>2849.5171304532969</v>
      </c>
      <c r="Z41" s="53"/>
    </row>
    <row r="42" spans="15:26" x14ac:dyDescent="0.15">
      <c r="O42" s="62">
        <v>7</v>
      </c>
      <c r="P42" s="63">
        <v>2535.3056900726388</v>
      </c>
      <c r="Q42" s="53"/>
      <c r="R42" s="53"/>
      <c r="S42" s="58">
        <v>2561.777092857526</v>
      </c>
      <c r="T42" s="53"/>
      <c r="U42" s="53"/>
      <c r="V42" s="53"/>
      <c r="W42" s="59">
        <v>4.8427401465176336</v>
      </c>
      <c r="X42" s="53"/>
      <c r="Y42" s="58">
        <v>2566.6198330040438</v>
      </c>
      <c r="Z42" s="53"/>
    </row>
    <row r="43" spans="15:26" x14ac:dyDescent="0.15">
      <c r="O43" s="62">
        <v>8</v>
      </c>
      <c r="P43" s="63">
        <v>2312.0712267958029</v>
      </c>
      <c r="Q43" s="53"/>
      <c r="R43" s="53"/>
      <c r="S43" s="58">
        <v>2313.6189665151824</v>
      </c>
      <c r="T43" s="53"/>
      <c r="U43" s="53"/>
      <c r="V43" s="53"/>
      <c r="W43" s="59">
        <v>1.8089444494945242</v>
      </c>
      <c r="X43" s="53"/>
      <c r="Y43" s="58">
        <v>2315.4279109646768</v>
      </c>
      <c r="Z43" s="53"/>
    </row>
    <row r="44" spans="15:26" x14ac:dyDescent="0.15">
      <c r="O44" s="62">
        <v>9</v>
      </c>
      <c r="P44" s="63">
        <v>2104.7820823244551</v>
      </c>
      <c r="Q44" s="53"/>
      <c r="R44" s="53"/>
      <c r="S44" s="58">
        <v>2089.4997996285383</v>
      </c>
      <c r="T44" s="53"/>
      <c r="U44" s="53"/>
      <c r="V44" s="53"/>
      <c r="W44" s="59">
        <v>0.67570836393319844</v>
      </c>
      <c r="X44" s="53"/>
      <c r="Y44" s="58">
        <v>2090.1755079924715</v>
      </c>
      <c r="Z44" s="53"/>
    </row>
    <row r="45" spans="15:26" x14ac:dyDescent="0.15">
      <c r="O45" s="62">
        <v>10</v>
      </c>
      <c r="P45" s="63">
        <v>1945.3288942695722</v>
      </c>
      <c r="Q45" s="53"/>
      <c r="R45" s="53"/>
      <c r="S45" s="58">
        <v>1887.0909496492714</v>
      </c>
      <c r="T45" s="53"/>
      <c r="U45" s="53"/>
      <c r="V45" s="53"/>
      <c r="W45" s="59">
        <v>0.25240232955570469</v>
      </c>
      <c r="X45" s="53"/>
      <c r="Y45" s="58">
        <v>1887.3433519788271</v>
      </c>
      <c r="Z45" s="53"/>
    </row>
    <row r="46" spans="15:26" x14ac:dyDescent="0.15">
      <c r="O46" s="62">
        <v>11</v>
      </c>
      <c r="P46" s="63">
        <v>1945.3288942695722</v>
      </c>
      <c r="Q46" s="53"/>
      <c r="R46" s="53"/>
      <c r="S46" s="58">
        <v>1704.2893485231573</v>
      </c>
      <c r="T46" s="53"/>
      <c r="U46" s="53"/>
      <c r="V46" s="53"/>
      <c r="W46" s="59">
        <v>9.4281704009578804E-2</v>
      </c>
      <c r="X46" s="53"/>
      <c r="Y46" s="58">
        <v>1704.3836302271668</v>
      </c>
      <c r="Z46" s="53"/>
    </row>
    <row r="47" spans="15:26" x14ac:dyDescent="0.15">
      <c r="O47" s="62">
        <v>12</v>
      </c>
      <c r="P47" s="63">
        <v>1785.8757062146892</v>
      </c>
      <c r="Q47" s="53"/>
      <c r="R47" s="53"/>
      <c r="S47" s="58">
        <v>1539.1956513963082</v>
      </c>
      <c r="T47" s="53"/>
      <c r="U47" s="53"/>
      <c r="V47" s="53"/>
      <c r="W47" s="59">
        <v>3.5217740369500164E-2</v>
      </c>
      <c r="X47" s="53"/>
      <c r="Y47" s="58">
        <v>1539.2308691366777</v>
      </c>
      <c r="Z47" s="53"/>
    </row>
    <row r="48" spans="15:26" x14ac:dyDescent="0.15">
      <c r="O48" s="53"/>
      <c r="P48" s="53"/>
      <c r="Q48" s="53"/>
      <c r="R48" s="53"/>
      <c r="S48" s="53"/>
      <c r="T48" s="53"/>
      <c r="U48" s="53"/>
      <c r="V48" s="53"/>
      <c r="W48" s="53"/>
      <c r="X48" s="53"/>
      <c r="Y48" s="53"/>
      <c r="Z48" s="53"/>
    </row>
    <row r="49" spans="15:26" x14ac:dyDescent="0.15">
      <c r="O49" s="53"/>
      <c r="P49" s="53"/>
      <c r="Q49" s="53"/>
      <c r="R49" s="53"/>
      <c r="S49" s="53"/>
      <c r="T49" s="53"/>
      <c r="U49" s="53"/>
      <c r="V49" s="53"/>
      <c r="W49" s="53"/>
      <c r="X49" s="53"/>
      <c r="Y49" s="53"/>
      <c r="Z49" s="53"/>
    </row>
    <row r="50" spans="15:26" x14ac:dyDescent="0.15">
      <c r="O50" s="53"/>
      <c r="P50" s="53"/>
      <c r="Q50" s="53"/>
      <c r="R50" s="53"/>
      <c r="S50" s="53"/>
      <c r="T50" s="53"/>
      <c r="U50" s="53"/>
      <c r="V50" s="54" t="s">
        <v>19</v>
      </c>
      <c r="W50" s="53"/>
      <c r="X50" s="60">
        <v>26781.925905240518</v>
      </c>
      <c r="Y50" s="53"/>
      <c r="Z50" s="53"/>
    </row>
    <row r="51" spans="15:26" x14ac:dyDescent="0.15">
      <c r="O51" s="53"/>
      <c r="P51" s="53"/>
      <c r="Q51" s="53"/>
      <c r="R51" s="53"/>
      <c r="S51" s="53"/>
      <c r="T51" s="53"/>
      <c r="U51" s="53"/>
      <c r="V51" s="53"/>
      <c r="W51" s="53"/>
      <c r="X51" s="53"/>
      <c r="Y51" s="53"/>
      <c r="Z51" s="53"/>
    </row>
  </sheetData>
  <pageMargins left="0.7" right="0.7" top="0.75" bottom="0.75" header="0.3" footer="0.3"/>
  <pageSetup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 ICA-ULTV</vt:lpstr>
    </vt:vector>
  </TitlesOfParts>
  <Company>Kelley School of Business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T41XP Rev.2</dc:creator>
  <cp:lastModifiedBy>Kaur, Manvir</cp:lastModifiedBy>
  <dcterms:created xsi:type="dcterms:W3CDTF">2004-11-12T12:01:14Z</dcterms:created>
  <dcterms:modified xsi:type="dcterms:W3CDTF">2025-12-02T17:50:04Z</dcterms:modified>
</cp:coreProperties>
</file>