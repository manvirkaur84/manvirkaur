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vir Kaur\Downloads\"/>
    </mc:Choice>
  </mc:AlternateContent>
  <xr:revisionPtr revIDLastSave="0" documentId="13_ncr:1_{B7871D8F-2A16-49B7-9232-6860232C61CA}" xr6:coauthVersionLast="47" xr6:coauthVersionMax="47" xr10:uidLastSave="{00000000-0000-0000-0000-000000000000}"/>
  <bookViews>
    <workbookView xWindow="14370" yWindow="1080" windowWidth="22890" windowHeight="20295" xr2:uid="{E0A7D2A1-F7EA-4F7A-9BCA-E9A5BAA09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" l="1"/>
  <c r="O19" i="1"/>
  <c r="E3" i="1" l="1"/>
  <c r="M19" i="1"/>
  <c r="N19" i="1"/>
  <c r="K19" i="1"/>
  <c r="D19" i="1"/>
  <c r="E19" i="1"/>
  <c r="Q19" i="1" s="1"/>
  <c r="U19" i="1" s="1"/>
  <c r="W19" i="1" s="1"/>
  <c r="F19" i="1"/>
  <c r="G19" i="1"/>
  <c r="H19" i="1"/>
  <c r="I19" i="1"/>
  <c r="J19" i="1"/>
  <c r="S19" i="1"/>
  <c r="F10" i="1"/>
  <c r="H12" i="1"/>
  <c r="G11" i="1"/>
  <c r="E9" i="1"/>
  <c r="Q9" i="1" s="1"/>
  <c r="U9" i="1" s="1"/>
  <c r="E10" i="1"/>
  <c r="Q10" i="1" s="1"/>
  <c r="H37" i="1"/>
  <c r="F37" i="1"/>
  <c r="F36" i="1"/>
  <c r="D10" i="1"/>
  <c r="D11" i="1"/>
  <c r="D12" i="1"/>
  <c r="D13" i="1"/>
  <c r="D14" i="1"/>
  <c r="D15" i="1"/>
  <c r="D16" i="1"/>
  <c r="D17" i="1"/>
  <c r="D18" i="1"/>
  <c r="D9" i="1"/>
  <c r="K17" i="1" s="1"/>
  <c r="J30" i="1"/>
  <c r="H30" i="1"/>
  <c r="F30" i="1"/>
  <c r="S10" i="1"/>
  <c r="S11" i="1"/>
  <c r="S12" i="1"/>
  <c r="S13" i="1"/>
  <c r="S14" i="1"/>
  <c r="S15" i="1"/>
  <c r="S16" i="1"/>
  <c r="S17" i="1"/>
  <c r="S18" i="1"/>
  <c r="S9" i="1"/>
  <c r="F13" i="1" l="1"/>
  <c r="N18" i="1"/>
  <c r="H18" i="1"/>
  <c r="I13" i="1"/>
  <c r="E17" i="1"/>
  <c r="F12" i="1"/>
  <c r="F14" i="1"/>
  <c r="H17" i="1"/>
  <c r="M18" i="1"/>
  <c r="F11" i="1"/>
  <c r="E18" i="1"/>
  <c r="H15" i="1"/>
  <c r="E13" i="1"/>
  <c r="F15" i="1"/>
  <c r="G18" i="1"/>
  <c r="H14" i="1"/>
  <c r="J17" i="1"/>
  <c r="F18" i="1"/>
  <c r="W9" i="1"/>
  <c r="E14" i="1"/>
  <c r="L18" i="1"/>
  <c r="E12" i="1"/>
  <c r="G13" i="1"/>
  <c r="E15" i="1"/>
  <c r="G17" i="1"/>
  <c r="I14" i="1"/>
  <c r="E11" i="1"/>
  <c r="Q11" i="1" s="1"/>
  <c r="G12" i="1"/>
  <c r="F16" i="1"/>
  <c r="G16" i="1"/>
  <c r="J14" i="1"/>
  <c r="E16" i="1"/>
  <c r="G15" i="1"/>
  <c r="I15" i="1"/>
  <c r="H13" i="1"/>
  <c r="F17" i="1"/>
  <c r="G14" i="1"/>
  <c r="I18" i="1"/>
  <c r="L16" i="1"/>
  <c r="K16" i="1"/>
  <c r="K15" i="1"/>
  <c r="K18" i="1"/>
  <c r="J16" i="1"/>
  <c r="J15" i="1"/>
  <c r="J18" i="1"/>
  <c r="H16" i="1"/>
  <c r="I16" i="1"/>
  <c r="M17" i="1"/>
  <c r="I17" i="1"/>
  <c r="L17" i="1"/>
  <c r="Q18" i="1" l="1"/>
  <c r="U18" i="1" s="1"/>
  <c r="W18" i="1" s="1"/>
  <c r="U10" i="1"/>
  <c r="W10" i="1" s="1"/>
  <c r="U11" i="1"/>
  <c r="W11" i="1" s="1"/>
  <c r="Q15" i="1"/>
  <c r="U15" i="1" s="1"/>
  <c r="W15" i="1" s="1"/>
  <c r="Q17" i="1"/>
  <c r="U17" i="1" s="1"/>
  <c r="W17" i="1" s="1"/>
  <c r="Q14" i="1"/>
  <c r="U14" i="1" s="1"/>
  <c r="W14" i="1" s="1"/>
  <c r="Q13" i="1"/>
  <c r="U13" i="1" s="1"/>
  <c r="W13" i="1" s="1"/>
  <c r="Q16" i="1"/>
  <c r="U16" i="1" s="1"/>
  <c r="W16" i="1" s="1"/>
  <c r="Q12" i="1"/>
  <c r="U12" i="1" l="1"/>
  <c r="W12" i="1" s="1"/>
  <c r="Y10" i="1" s="1"/>
  <c r="Z10" i="1" l="1"/>
  <c r="Z18" i="1"/>
  <c r="Z19" i="1"/>
  <c r="Z15" i="1"/>
  <c r="Z17" i="1"/>
  <c r="Z14" i="1"/>
  <c r="Z13" i="1"/>
  <c r="Z12" i="1"/>
  <c r="Z11" i="1"/>
  <c r="Z16" i="1"/>
  <c r="Z9" i="1"/>
</calcChain>
</file>

<file path=xl/sharedStrings.xml><?xml version="1.0" encoding="utf-8"?>
<sst xmlns="http://schemas.openxmlformats.org/spreadsheetml/2006/main" count="24" uniqueCount="23">
  <si>
    <t>C (Capacity)</t>
  </si>
  <si>
    <t>Overbook m</t>
  </si>
  <si>
    <t>Tickets sold</t>
  </si>
  <si>
    <t>probability of bumping # passengers</t>
  </si>
  <si>
    <t>Expected Bumps</t>
  </si>
  <si>
    <t>Revenue</t>
  </si>
  <si>
    <t>Ticket Price</t>
  </si>
  <si>
    <t>Bump Fee</t>
  </si>
  <si>
    <t>Bump Cost</t>
  </si>
  <si>
    <t>Exp Profit</t>
  </si>
  <si>
    <t>Probability</t>
  </si>
  <si>
    <t>Overbooking Case</t>
  </si>
  <si>
    <t>Optimal Protection level</t>
  </si>
  <si>
    <t>Advance Fare (Rl)</t>
  </si>
  <si>
    <t>Last Minute (RH)</t>
  </si>
  <si>
    <t>Last minute average</t>
  </si>
  <si>
    <t>Std. Deviation</t>
  </si>
  <si>
    <t>NORM.INV</t>
  </si>
  <si>
    <t>Z value</t>
  </si>
  <si>
    <t>X</t>
  </si>
  <si>
    <t xml:space="preserve"> </t>
  </si>
  <si>
    <t>1-prob</t>
  </si>
  <si>
    <t>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</si>
</sst>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0" fontId="1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Optimal Overbooking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Sheet1!$C$8</c:f>
              <c:strCache>
                <c:ptCount val="1"/>
                <c:pt idx="0">
                  <c:v>Overbook m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accent5"/>
                </a:solidFill>
                <a:ln w="1905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58C-4585-A8F4-5EB3A1FBA45D}"/>
              </c:ext>
            </c:extLst>
          </c:dPt>
          <c:xVal>
            <c:numRef>
              <c:f>Sheet1!$C$9:$C$18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Sheet1!$W$9:$W$18</c:f>
              <c:numCache>
                <c:formatCode>General</c:formatCode>
                <c:ptCount val="10"/>
                <c:pt idx="0">
                  <c:v>10099.911970030127</c:v>
                </c:pt>
                <c:pt idx="1">
                  <c:v>10199.119700301262</c:v>
                </c:pt>
                <c:pt idx="2">
                  <c:v>10295.482301946078</c:v>
                </c:pt>
                <c:pt idx="3">
                  <c:v>10384.106153727302</c:v>
                </c:pt>
                <c:pt idx="4">
                  <c:v>10456.788180789526</c:v>
                </c:pt>
                <c:pt idx="5">
                  <c:v>10502.943011519339</c:v>
                </c:pt>
                <c:pt idx="6">
                  <c:v>10511.959767383772</c:v>
                </c:pt>
                <c:pt idx="7">
                  <c:v>10475.986398268431</c:v>
                </c:pt>
                <c:pt idx="8">
                  <c:v>10391.873595424731</c:v>
                </c:pt>
                <c:pt idx="9">
                  <c:v>10261.54693620181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8C-4585-A8F4-5EB3A1FBA45D}"/>
            </c:ext>
          </c:extLst>
        </c:ser>
        <c:ser>
          <c:idx val="1"/>
          <c:order val="1"/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max</a:t>
                    </a:r>
                    <a:r>
                      <a:rPr lang="en-US" baseline="0"/>
                      <a:t> profit point</a:t>
                    </a:r>
                  </a:p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58C-4585-A8F4-5EB3A1FBA4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Sheet1!$C$9:$C$18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Sheet1!$Z$9:$Z$18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10511.959767383772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8C-4585-A8F4-5EB3A1FBA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963568"/>
        <c:axId val="553964048"/>
      </c:scatterChart>
      <c:valAx>
        <c:axId val="55396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Overbook Level (seats sold above capacity)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64048"/>
        <c:crosses val="autoZero"/>
        <c:crossBetween val="midCat"/>
      </c:valAx>
      <c:valAx>
        <c:axId val="55396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Expeced Profit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6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293912</xdr:colOff>
      <xdr:row>22</xdr:row>
      <xdr:rowOff>51706</xdr:rowOff>
    </xdr:from>
    <xdr:to>
      <xdr:col>22</xdr:col>
      <xdr:colOff>103414</xdr:colOff>
      <xdr:row>42</xdr:row>
      <xdr:rowOff>201385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FCE0A-A679-B8F6-D847-B7BB2AE9B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E007-02F5-4F7F-A54D-89A2B1CE4986}">
  <dimension ref="B2:Z37"/>
  <sheetViews>
    <sheetView tabSelected="1" workbookViewId="0">
      <selection activeCell="L20" sqref="L20"/>
    </sheetView>
  </sheetViews>
  <sheetFormatPr defaultRowHeight="15.75" x14ac:dyDescent="0.25"/>
  <cols>
    <col min="2" max="2" width="16.375" customWidth="1"/>
    <col min="3" max="3" width="12.875" customWidth="1"/>
    <col min="4" max="4" width="12.75" customWidth="1"/>
    <col min="5" max="6" width="11.75" bestFit="1" customWidth="1"/>
  </cols>
  <sheetData>
    <row r="2" spans="2:26" x14ac:dyDescent="0.25">
      <c r="B2" s="3" t="s">
        <v>11</v>
      </c>
    </row>
    <row r="3" spans="2:26" x14ac:dyDescent="0.25">
      <c r="E3">
        <f>_xlfn.BINOM.DIST(101,100+1,0.8, FALSE)</f>
        <v>1.629628781067598E-10</v>
      </c>
    </row>
    <row r="4" spans="2:26" x14ac:dyDescent="0.25">
      <c r="B4" t="s">
        <v>6</v>
      </c>
      <c r="C4">
        <v>100</v>
      </c>
    </row>
    <row r="5" spans="2:26" x14ac:dyDescent="0.25">
      <c r="B5" t="s">
        <v>7</v>
      </c>
      <c r="C5">
        <v>400</v>
      </c>
    </row>
    <row r="6" spans="2:26" x14ac:dyDescent="0.25">
      <c r="B6" t="s">
        <v>10</v>
      </c>
      <c r="C6">
        <v>0.92</v>
      </c>
    </row>
    <row r="7" spans="2:26" x14ac:dyDescent="0.25">
      <c r="E7" t="s">
        <v>3</v>
      </c>
      <c r="Q7" t="s">
        <v>4</v>
      </c>
      <c r="S7" t="s">
        <v>5</v>
      </c>
      <c r="U7" t="s">
        <v>8</v>
      </c>
      <c r="W7" t="s">
        <v>9</v>
      </c>
      <c r="Z7" t="s">
        <v>20</v>
      </c>
    </row>
    <row r="8" spans="2:26" x14ac:dyDescent="0.25">
      <c r="B8" t="s">
        <v>0</v>
      </c>
      <c r="C8" t="s">
        <v>1</v>
      </c>
      <c r="D8" t="s">
        <v>2</v>
      </c>
      <c r="E8">
        <v>1</v>
      </c>
      <c r="F8">
        <v>2</v>
      </c>
      <c r="G8">
        <v>3</v>
      </c>
      <c r="H8">
        <v>4</v>
      </c>
      <c r="I8">
        <v>5</v>
      </c>
      <c r="J8">
        <v>6</v>
      </c>
      <c r="K8">
        <v>7</v>
      </c>
      <c r="L8">
        <v>8</v>
      </c>
      <c r="M8">
        <v>9</v>
      </c>
      <c r="N8">
        <v>10</v>
      </c>
      <c r="O8">
        <v>11</v>
      </c>
      <c r="Z8" t="s">
        <v>20</v>
      </c>
    </row>
    <row r="9" spans="2:26" x14ac:dyDescent="0.25">
      <c r="B9">
        <v>100</v>
      </c>
      <c r="C9">
        <v>1</v>
      </c>
      <c r="D9">
        <f>$B$9+C9</f>
        <v>101</v>
      </c>
      <c r="E9" s="1">
        <f>_xlfn.BINOM.DIST($D$9,$B$9+C9,$C$6, FALSE)</f>
        <v>2.2007492468443924E-4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 s="2">
        <f>SUMPRODUCT(E9:N9, $E$8:$N$8)</f>
        <v>2.2007492468443924E-4</v>
      </c>
      <c r="S9">
        <f>($B$9+C9)*$C$4</f>
        <v>10100</v>
      </c>
      <c r="U9" s="1">
        <f>Q9*$C$5</f>
        <v>8.802996987377569E-2</v>
      </c>
      <c r="W9">
        <f>S9-U9</f>
        <v>10099.911970030127</v>
      </c>
      <c r="Z9" t="e">
        <f>IF(W9=$Y$10, W9, NA())</f>
        <v>#N/A</v>
      </c>
    </row>
    <row r="10" spans="2:26" x14ac:dyDescent="0.25">
      <c r="C10">
        <v>2</v>
      </c>
      <c r="D10">
        <f t="shared" ref="D10:D19" si="0">$B$9+C10</f>
        <v>102</v>
      </c>
      <c r="E10" s="1">
        <f>_xlfn.BINOM.DIST($D$9,$B$9+C10,$C$6, FALSE)</f>
        <v>1.7958113854250209E-3</v>
      </c>
      <c r="F10" s="1">
        <f>_xlfn.BINOM.DIST($D$9+$E$8,$B$9+$C10,$C$6, FALSE)</f>
        <v>2.0246893070968405E-4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 s="2">
        <f>SUMPRODUCT(E10:N10, $E$8:$N$8)</f>
        <v>2.2007492468443888E-3</v>
      </c>
      <c r="S10">
        <f t="shared" ref="S10:S19" si="1">($B$9+C10)*$C$4</f>
        <v>10200</v>
      </c>
      <c r="U10" s="1">
        <f t="shared" ref="U10:U18" si="2">Q10*$C$5</f>
        <v>0.88029969873775549</v>
      </c>
      <c r="W10">
        <f t="shared" ref="W10:W18" si="3">S10-U10</f>
        <v>10199.119700301262</v>
      </c>
      <c r="Y10">
        <f>MAX(W9:W180)</f>
        <v>10511.959767383772</v>
      </c>
      <c r="Z10" t="e">
        <f t="shared" ref="Z10:Z18" si="4">IF(W10=$Y$10, W10, NA())</f>
        <v>#N/A</v>
      </c>
    </row>
    <row r="11" spans="2:26" x14ac:dyDescent="0.25">
      <c r="C11">
        <v>3</v>
      </c>
      <c r="D11">
        <f t="shared" si="0"/>
        <v>103</v>
      </c>
      <c r="E11">
        <f t="shared" ref="E11:E19" si="5">_xlfn.BINOM.DIST($D$9,$B$9+C11,$C$6, FALSE)</f>
        <v>7.3987429079511004E-3</v>
      </c>
      <c r="F11">
        <f t="shared" ref="F11:F19" si="6">_xlfn.BINOM.DIST($D$9+$E$8,$B$9+$C11,$C$6, FALSE)</f>
        <v>1.6683439890477964E-3</v>
      </c>
      <c r="G11">
        <f>_xlfn.BINOM.DIST($D$9+$F$8,$B$9+$C11,$C$6, FALSE)</f>
        <v>1.8627141625290959E-4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 s="2">
        <f>SUMPRODUCT(E11:N11, $E$8:$N$8)</f>
        <v>1.1294245134805422E-2</v>
      </c>
      <c r="S11">
        <f t="shared" si="1"/>
        <v>10300</v>
      </c>
      <c r="U11">
        <f t="shared" si="2"/>
        <v>4.5176980539221683</v>
      </c>
      <c r="W11">
        <f t="shared" si="3"/>
        <v>10295.482301946078</v>
      </c>
      <c r="Z11" t="e">
        <f t="shared" si="4"/>
        <v>#N/A</v>
      </c>
    </row>
    <row r="12" spans="2:26" x14ac:dyDescent="0.25">
      <c r="C12">
        <v>4</v>
      </c>
      <c r="D12">
        <f t="shared" si="0"/>
        <v>104</v>
      </c>
      <c r="E12">
        <f t="shared" si="5"/>
        <v>2.0519180331384345E-2</v>
      </c>
      <c r="F12">
        <f t="shared" si="6"/>
        <v>6.9403109944388237E-3</v>
      </c>
      <c r="G12">
        <f t="shared" ref="G12:G19" si="7">_xlfn.BINOM.DIST($D$9+$F$8,$B$9+$C12,$C$6, FALSE)</f>
        <v>1.549778183224204E-3</v>
      </c>
      <c r="H12">
        <f>_xlfn.BINOM.DIST($D$9+$G$8,$B$9+$C12,$C$6, FALSE)</f>
        <v>1.7136970295267677E-4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 s="2">
        <f t="shared" ref="Q12:Q18" si="8">SUMPRODUCT(E12:N12, $E$8:$N$8)</f>
        <v>3.9734615681745307E-2</v>
      </c>
      <c r="S12">
        <f t="shared" si="1"/>
        <v>10400</v>
      </c>
      <c r="U12">
        <f>Q12*$C$5</f>
        <v>15.893846272698124</v>
      </c>
      <c r="W12" s="1">
        <f t="shared" si="3"/>
        <v>10384.106153727302</v>
      </c>
      <c r="Z12" t="e">
        <f t="shared" si="4"/>
        <v>#N/A</v>
      </c>
    </row>
    <row r="13" spans="2:26" x14ac:dyDescent="0.25">
      <c r="C13">
        <v>5</v>
      </c>
      <c r="D13">
        <f t="shared" si="0"/>
        <v>105</v>
      </c>
      <c r="E13">
        <f t="shared" si="5"/>
        <v>4.3090278695907133E-2</v>
      </c>
      <c r="F13">
        <f t="shared" si="6"/>
        <v>1.9432870784428735E-2</v>
      </c>
      <c r="G13">
        <f t="shared" si="7"/>
        <v>6.5090683695416636E-3</v>
      </c>
      <c r="H13">
        <f>_xlfn.BINOM.DIST($D$9+$G$8,$B$9+$C13,$C$6, FALSE)</f>
        <v>1.4395055048024841E-3</v>
      </c>
      <c r="I13" s="1">
        <f>_xlfn.BINOM.DIST($D$9+$H$8,$B$9+$C13,$C$6, FALSE)</f>
        <v>1.576601267164626E-4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 s="2">
        <f t="shared" si="8"/>
        <v>0.10802954802618185</v>
      </c>
      <c r="S13">
        <f t="shared" si="1"/>
        <v>10500</v>
      </c>
      <c r="U13">
        <f t="shared" si="2"/>
        <v>43.21181921047274</v>
      </c>
      <c r="W13">
        <f t="shared" si="3"/>
        <v>10456.788180789526</v>
      </c>
      <c r="Z13" t="e">
        <f t="shared" si="4"/>
        <v>#N/A</v>
      </c>
    </row>
    <row r="14" spans="2:26" x14ac:dyDescent="0.25">
      <c r="C14">
        <v>6</v>
      </c>
      <c r="D14">
        <f t="shared" si="0"/>
        <v>106</v>
      </c>
      <c r="E14">
        <f t="shared" si="5"/>
        <v>7.3081112668258452E-2</v>
      </c>
      <c r="F14">
        <f t="shared" si="6"/>
        <v>4.1197686062988868E-2</v>
      </c>
      <c r="G14">
        <f t="shared" si="7"/>
        <v>1.8398966591237759E-2</v>
      </c>
      <c r="H14">
        <f t="shared" ref="H14:H19" si="9">_xlfn.BINOM.DIST($D$9+$G$8,$B$9+$C14,$C$6, FALSE)</f>
        <v>6.1035033403625304E-3</v>
      </c>
      <c r="I14" s="1">
        <f>_xlfn.BINOM.DIST($D$9+H$8,$B$9+$C14,$C$6, FALSE)</f>
        <v>1.3369578745556041E-3</v>
      </c>
      <c r="J14" s="1">
        <f>_xlfn.BINOM.DIST($D$9+I$8,$B$9+$C14,$C$6, FALSE)</f>
        <v>1.4504731657914556E-4</v>
      </c>
      <c r="K14">
        <v>0</v>
      </c>
      <c r="L14">
        <v>0</v>
      </c>
      <c r="M14">
        <v>0</v>
      </c>
      <c r="N14">
        <v>0</v>
      </c>
      <c r="O14">
        <v>0</v>
      </c>
      <c r="Q14" s="2">
        <f t="shared" si="8"/>
        <v>0.24264247120165253</v>
      </c>
      <c r="S14">
        <f t="shared" si="1"/>
        <v>10600</v>
      </c>
      <c r="U14">
        <f t="shared" si="2"/>
        <v>97.056988480661005</v>
      </c>
      <c r="W14">
        <f t="shared" si="3"/>
        <v>10502.943011519339</v>
      </c>
      <c r="Z14" t="e">
        <f t="shared" si="4"/>
        <v>#N/A</v>
      </c>
    </row>
    <row r="15" spans="2:26" x14ac:dyDescent="0.25">
      <c r="C15">
        <v>7</v>
      </c>
      <c r="D15">
        <f t="shared" si="0"/>
        <v>107</v>
      </c>
      <c r="E15">
        <f t="shared" si="5"/>
        <v>0.10426238740671531</v>
      </c>
      <c r="F15">
        <f t="shared" si="6"/>
        <v>7.0530438539836898E-2</v>
      </c>
      <c r="G15">
        <f t="shared" si="7"/>
        <v>3.9373788505248739E-2</v>
      </c>
      <c r="H15">
        <f t="shared" si="9"/>
        <v>1.7415329531167725E-2</v>
      </c>
      <c r="I15" s="1">
        <f>_xlfn.BINOM.DIST($D$9+H$8,$B$9+$C15,$C$6, FALSE)</f>
        <v>5.722179703097967E-3</v>
      </c>
      <c r="J15" s="1">
        <f t="shared" ref="J15:K15" si="10">_xlfn.BINOM.DIST($D$9+I$8,$B$9+$C15,$C$6, FALSE)</f>
        <v>1.2416050299174858E-3</v>
      </c>
      <c r="K15" s="1">
        <f t="shared" si="10"/>
        <v>1.3344353125281386E-4</v>
      </c>
      <c r="L15">
        <v>0</v>
      </c>
      <c r="M15">
        <v>0</v>
      </c>
      <c r="N15">
        <v>0</v>
      </c>
      <c r="O15">
        <v>0</v>
      </c>
      <c r="Q15" s="2">
        <f t="shared" si="8"/>
        <v>0.47010058154057066</v>
      </c>
      <c r="S15">
        <f t="shared" si="1"/>
        <v>10700</v>
      </c>
      <c r="U15">
        <f t="shared" si="2"/>
        <v>188.04023261622825</v>
      </c>
      <c r="W15">
        <f t="shared" si="3"/>
        <v>10511.959767383772</v>
      </c>
      <c r="Z15">
        <f t="shared" si="4"/>
        <v>10511.959767383772</v>
      </c>
    </row>
    <row r="16" spans="2:26" x14ac:dyDescent="0.25">
      <c r="C16">
        <v>8</v>
      </c>
      <c r="D16">
        <f t="shared" si="0"/>
        <v>108</v>
      </c>
      <c r="E16">
        <f t="shared" si="5"/>
        <v>0.12868957531343142</v>
      </c>
      <c r="F16">
        <f t="shared" si="6"/>
        <v>0.10156383149736511</v>
      </c>
      <c r="G16">
        <f t="shared" si="7"/>
        <v>6.8037906537069828E-2</v>
      </c>
      <c r="H16">
        <f t="shared" si="9"/>
        <v>3.7617111787322306E-2</v>
      </c>
      <c r="I16" s="1">
        <f>_xlfn.BINOM.DIST($D$9+H$8,$B$9+$C16,$C$6, FALSE)</f>
        <v>1.6479877544922153E-2</v>
      </c>
      <c r="J16" s="1">
        <f t="shared" ref="J16:L16" si="11">_xlfn.BINOM.DIST($D$9+I$8,$B$9+$C16,$C$6, FALSE)</f>
        <v>5.3637337292435335E-3</v>
      </c>
      <c r="K16" s="1">
        <f t="shared" si="11"/>
        <v>1.1529521100243126E-3</v>
      </c>
      <c r="L16" s="1">
        <f t="shared" si="11"/>
        <v>1.2276804875258873E-4</v>
      </c>
      <c r="M16">
        <v>0</v>
      </c>
      <c r="N16">
        <v>0</v>
      </c>
      <c r="O16">
        <v>0</v>
      </c>
      <c r="Q16" s="2">
        <f t="shared" si="8"/>
        <v>0.81003400432892325</v>
      </c>
      <c r="S16">
        <f t="shared" si="1"/>
        <v>10800</v>
      </c>
      <c r="U16">
        <f t="shared" si="2"/>
        <v>324.01360173156928</v>
      </c>
      <c r="W16">
        <f t="shared" si="3"/>
        <v>10475.986398268431</v>
      </c>
      <c r="Z16" t="e">
        <f t="shared" si="4"/>
        <v>#N/A</v>
      </c>
    </row>
    <row r="17" spans="2:26" x14ac:dyDescent="0.25">
      <c r="C17">
        <v>9</v>
      </c>
      <c r="D17">
        <f t="shared" si="0"/>
        <v>109</v>
      </c>
      <c r="E17">
        <f t="shared" si="5"/>
        <v>0.14027163709164017</v>
      </c>
      <c r="F17">
        <f t="shared" si="6"/>
        <v>0.12651951580814616</v>
      </c>
      <c r="G17">
        <f t="shared" si="7"/>
        <v>9.8881757500541428E-2</v>
      </c>
      <c r="H17">
        <f t="shared" si="9"/>
        <v>6.5604242957090025E-2</v>
      </c>
      <c r="I17" s="1">
        <f>_xlfn.BINOM.DIST($D$9+H$8,$B$9+$C17,$C$6, FALSE)</f>
        <v>3.5926133047930298E-2</v>
      </c>
      <c r="J17" s="1">
        <f t="shared" ref="J17:M17" si="12">_xlfn.BINOM.DIST($D$9+I$8,$B$9+$C17,$C$6, FALSE)</f>
        <v>1.5590586039667866E-2</v>
      </c>
      <c r="K17" s="1">
        <f t="shared" si="12"/>
        <v>5.0268711997060013E-3</v>
      </c>
      <c r="L17" s="1">
        <f t="shared" si="12"/>
        <v>1.0705373851225737E-3</v>
      </c>
      <c r="M17" s="1">
        <f t="shared" si="12"/>
        <v>1.129466048523818E-4</v>
      </c>
      <c r="N17">
        <v>0</v>
      </c>
      <c r="O17">
        <v>0</v>
      </c>
      <c r="Q17" s="2">
        <f t="shared" si="8"/>
        <v>1.2703160114381697</v>
      </c>
      <c r="S17">
        <f t="shared" si="1"/>
        <v>10900</v>
      </c>
      <c r="U17">
        <f t="shared" si="2"/>
        <v>508.12640457526788</v>
      </c>
      <c r="W17">
        <f t="shared" si="3"/>
        <v>10391.873595424731</v>
      </c>
      <c r="Z17" t="e">
        <f t="shared" si="4"/>
        <v>#N/A</v>
      </c>
    </row>
    <row r="18" spans="2:26" x14ac:dyDescent="0.25">
      <c r="C18">
        <v>10</v>
      </c>
      <c r="D18">
        <f t="shared" si="0"/>
        <v>110</v>
      </c>
      <c r="E18">
        <f t="shared" si="5"/>
        <v>0.13715448960071475</v>
      </c>
      <c r="F18">
        <f t="shared" si="6"/>
        <v>0.13917146738896072</v>
      </c>
      <c r="G18">
        <f t="shared" si="7"/>
        <v>0.1243084951435378</v>
      </c>
      <c r="H18">
        <f t="shared" si="9"/>
        <v>9.621955633706529E-2</v>
      </c>
      <c r="I18" s="1">
        <f>_xlfn.BINOM.DIST($D$9+H$8,$B$9+$C18,$C$6, FALSE)</f>
        <v>6.3229994164357303E-2</v>
      </c>
      <c r="J18" s="1">
        <f t="shared" ref="J18:O19" si="13">_xlfn.BINOM.DIST($D$9+I$8,$B$9+$C18,$C$6, FALSE)</f>
        <v>3.4299289287269288E-2</v>
      </c>
      <c r="K18" s="1">
        <f t="shared" si="13"/>
        <v>1.4745488852470911E-2</v>
      </c>
      <c r="L18" s="1">
        <f t="shared" si="13"/>
        <v>4.7103644945393269E-3</v>
      </c>
      <c r="M18" s="1">
        <f t="shared" si="13"/>
        <v>9.9393012270095906E-4</v>
      </c>
      <c r="N18" s="1">
        <f t="shared" si="13"/>
        <v>1.0391087646419122E-4</v>
      </c>
      <c r="O18">
        <v>0</v>
      </c>
      <c r="Q18" s="2">
        <f>SUMPRODUCT(E18:N18, $E$8:$N$8)</f>
        <v>1.8461326594954746</v>
      </c>
      <c r="S18">
        <f t="shared" si="1"/>
        <v>11000</v>
      </c>
      <c r="U18">
        <f>Q18*$C$5</f>
        <v>738.45306379818987</v>
      </c>
      <c r="W18">
        <f>S18-U18</f>
        <v>10261.54693620181</v>
      </c>
      <c r="Z18" t="e">
        <f>IF(W18=$Y$10, W18, NA())</f>
        <v>#N/A</v>
      </c>
    </row>
    <row r="19" spans="2:26" x14ac:dyDescent="0.25">
      <c r="C19">
        <v>11</v>
      </c>
      <c r="D19">
        <f t="shared" si="0"/>
        <v>111</v>
      </c>
      <c r="E19">
        <f t="shared" si="5"/>
        <v>0.1217931867654346</v>
      </c>
      <c r="F19">
        <f t="shared" si="6"/>
        <v>0.13731584782377443</v>
      </c>
      <c r="G19">
        <f t="shared" si="7"/>
        <v>0.13798242960932683</v>
      </c>
      <c r="H19">
        <f t="shared" si="9"/>
        <v>0.12206138003901994</v>
      </c>
      <c r="I19" s="1">
        <f>_xlfn.BINOM.DIST($D$9+H$8,$B$9+$C19,$C$6, FALSE)</f>
        <v>9.3580391363248666E-2</v>
      </c>
      <c r="J19" s="1">
        <f t="shared" si="13"/>
        <v>6.0915537774190238E-2</v>
      </c>
      <c r="K19" s="1">
        <f>_xlfn.BINOM.DIST($D$9+J$8,$B$9+$C19,$C$6, FALSE)</f>
        <v>3.2734985252485402E-2</v>
      </c>
      <c r="L19" s="1">
        <f>_xlfn.BINOM.DIST($D$9+K$8,$B$9+$C19,$C$6, FALSE)</f>
        <v>1.3942678903836393E-2</v>
      </c>
      <c r="M19" s="1">
        <f t="shared" si="13"/>
        <v>4.4130497447922527E-3</v>
      </c>
      <c r="N19" s="1">
        <f t="shared" si="13"/>
        <v>9.2272858300201737E-4</v>
      </c>
      <c r="O19" s="1">
        <f t="shared" si="13"/>
        <v>9.5598006347055899E-5</v>
      </c>
      <c r="Q19" s="2">
        <f>SUMPRODUCT(E19:N19, $E$8:$N$8)</f>
        <v>2.5216439363896681</v>
      </c>
      <c r="S19">
        <f t="shared" si="1"/>
        <v>11100</v>
      </c>
      <c r="U19">
        <f>Q19*$C$5</f>
        <v>1008.6575745558672</v>
      </c>
      <c r="W19">
        <f>S19-U19</f>
        <v>10091.342425444132</v>
      </c>
      <c r="Z19" t="e">
        <f>IF(W19=$Y$10, W19, NA())</f>
        <v>#N/A</v>
      </c>
    </row>
    <row r="28" spans="2:26" x14ac:dyDescent="0.25">
      <c r="B28" s="3" t="s">
        <v>12</v>
      </c>
    </row>
    <row r="29" spans="2:26" x14ac:dyDescent="0.25">
      <c r="F29" t="s">
        <v>17</v>
      </c>
      <c r="H29" t="s">
        <v>18</v>
      </c>
      <c r="J29" t="s">
        <v>19</v>
      </c>
    </row>
    <row r="30" spans="2:26" x14ac:dyDescent="0.25">
      <c r="B30" t="s">
        <v>13</v>
      </c>
      <c r="C30" s="4">
        <v>150</v>
      </c>
      <c r="F30" s="1">
        <f>_xlfn.NORM.INV(0.625, 100,20)</f>
        <v>106.37278727928751</v>
      </c>
      <c r="H30" s="1">
        <f>_xlfn.NORM.S.INV(0.625)</f>
        <v>0.3186393639643752</v>
      </c>
      <c r="J30">
        <f>C33+H30*C34</f>
        <v>106.37278727928751</v>
      </c>
    </row>
    <row r="31" spans="2:26" x14ac:dyDescent="0.25">
      <c r="B31" t="s">
        <v>14</v>
      </c>
      <c r="C31" s="4">
        <v>400</v>
      </c>
    </row>
    <row r="33" spans="2:8" x14ac:dyDescent="0.25">
      <c r="B33" t="s">
        <v>15</v>
      </c>
      <c r="C33">
        <v>100</v>
      </c>
    </row>
    <row r="34" spans="2:8" x14ac:dyDescent="0.25">
      <c r="B34" t="s">
        <v>16</v>
      </c>
      <c r="C34">
        <v>20</v>
      </c>
    </row>
    <row r="36" spans="2:8" x14ac:dyDescent="0.25">
      <c r="E36" t="s">
        <v>22</v>
      </c>
      <c r="F36">
        <f>C30/C31</f>
        <v>0.375</v>
      </c>
    </row>
    <row r="37" spans="2:8" x14ac:dyDescent="0.25">
      <c r="E37" t="s">
        <v>21</v>
      </c>
      <c r="F37">
        <f>1-F36</f>
        <v>0.625</v>
      </c>
      <c r="H37" s="1">
        <f>C34*H30+C33</f>
        <v>106.37278727928751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Richards, Joseph B</dc:creator>
  <cp:lastModifiedBy>Kaur, Manvir</cp:lastModifiedBy>
  <dcterms:created xsi:type="dcterms:W3CDTF">2025-10-03T18:15:49Z</dcterms:created>
  <dcterms:modified xsi:type="dcterms:W3CDTF">2025-10-10T02:50:13Z</dcterms:modified>
</cp:coreProperties>
</file>